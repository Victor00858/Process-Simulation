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UNIVERSIDAD INDUSTRIAL DE SANTANDER\Desktop\DECIMO SEMESTRE\TrabajoGrado\Simulacion\"/>
    </mc:Choice>
  </mc:AlternateContent>
  <xr:revisionPtr revIDLastSave="0" documentId="13_ncr:1_{F09C66EE-15C8-497C-9563-4F729861C45D}" xr6:coauthVersionLast="47" xr6:coauthVersionMax="47" xr10:uidLastSave="{00000000-0000-0000-0000-000000000000}"/>
  <bookViews>
    <workbookView xWindow="-120" yWindow="-120" windowWidth="20730" windowHeight="11040" xr2:uid="{3E49C8D9-182B-4260-9AEA-7CA16E361F23}"/>
  </bookViews>
  <sheets>
    <sheet name="Parametros" sheetId="1" r:id="rId1"/>
    <sheet name="Isoterma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" i="1" l="1"/>
  <c r="K8" i="1"/>
  <c r="F6" i="1"/>
  <c r="F8" i="1"/>
  <c r="F17" i="2"/>
  <c r="F9" i="1"/>
  <c r="K5" i="1"/>
  <c r="C13" i="1"/>
  <c r="N23" i="1"/>
  <c r="G17" i="2"/>
  <c r="F18" i="2"/>
  <c r="F5" i="1"/>
  <c r="E5" i="1"/>
  <c r="D5" i="1"/>
  <c r="C5" i="1"/>
  <c r="C6" i="1"/>
  <c r="A5" i="1"/>
  <c r="D6" i="1"/>
  <c r="D7" i="1"/>
  <c r="C7" i="1"/>
  <c r="E6" i="1"/>
  <c r="E7" i="1"/>
  <c r="C17" i="2"/>
  <c r="B18" i="2"/>
  <c r="B17" i="2"/>
  <c r="J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tc={2AA8D797-4644-45B4-BE6C-EC349C8D4E23}</author>
    <author>tc={9C26797B-B286-4C1F-838F-76088A44955F}</author>
    <author>tc={65A4CA3D-FF16-4E5C-921D-EA887434375A}</author>
    <author>tc={A7D1B694-5633-4751-9FB5-53A3DFF994BE}</author>
    <author>tc={20554DB7-2449-42EE-84D6-E1C726504967}</author>
    <author>tc={09213289-258D-4C18-B191-CEA7E23B3E4A}</author>
    <author>tc={C7085A22-C0C0-4562-A7CF-D42B11A7628D}</author>
    <author>tc={805FBF79-9C49-4EAD-BEE9-26591B90B54E}</author>
    <author>tc={3DC78325-3FDF-4211-8038-9277F056EF73}</author>
    <author>tc={D059B188-D5F9-48CE-9B45-4F57EF126AC3}</author>
    <author>tc={6C31E06E-36B7-4A84-9D93-6C69053FCA58}</author>
    <author>tc={CCBF8836-836F-419A-80C3-D2A72C8FCE77}</author>
    <author>tc={930C86FD-920B-4891-A9AE-1CEB8F252819}</author>
    <author>tc={2EA0A559-E182-48A6-B569-A264F6FB1B4E}</author>
    <author>tc={FE100905-D750-4086-AA4A-7869F41F00F6}</author>
    <author>tc={C4AAC2B2-EA40-461B-BFCF-B85407AFF4FC}</author>
    <author>tc={78217EC4-ACB6-4691-9F47-7D846EAA7090}</author>
    <author>tc={4600ED2C-1123-4D11-A193-FB7DE184381D}</author>
    <author>tc={FD34150B-4D81-40AB-A009-0D82314FBA37}</author>
    <author>tc={9FDA2F4E-1E69-47BE-91E0-EA5AFDDA9AD6}</author>
    <author>tc={77DA33B2-3645-4F91-AB5C-3F7C8929893F}</author>
    <author>tc={FE58F49B-EF0F-4C2A-84ED-E4FED3ED8BF1}</author>
    <author>tc={0D317AE4-4D2E-43BE-8498-6AF560749CF6}</author>
    <author>tc={2A0BAB36-19FA-42A2-AC53-CED4E2765D26}</author>
    <author>tc={143F65EF-C3B8-4E9B-8BD4-431C27534C3C}</author>
    <author>tc={310E004D-5C53-4C9A-B0E5-C30C4230EF5D}</author>
    <author>tc={A99A973D-FECC-4C6C-AD86-CC0301876159}</author>
    <author>tc={75D789C6-03FA-47DF-9EF9-179ABE2FEADC}</author>
    <author>tc={BBA273DA-2F0C-4B5C-8020-4D29E7C8996F}</author>
    <author>tc={76EB2E1A-3EEE-4397-81B9-0900FAE2847D}</author>
    <author>tc={4EB74E31-758E-4190-9495-97BD8047A9B0}</author>
    <author>tc={5B798057-389B-42EC-BC41-01E28DA0FD88}</author>
    <author>tc={3AE5D393-3F3A-4DD1-9783-24324FB2AC39}</author>
  </authors>
  <commentList>
    <comment ref="C4" authorId="0" shapeId="0" xr:uid="{2AA8D797-4644-45B4-BE6C-EC349C8D4E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Viscosidad</t>
      </text>
    </comment>
    <comment ref="D4" authorId="1" shapeId="0" xr:uid="{9C26797B-B286-4C1F-838F-76088A4495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Conductividad termica</t>
      </text>
    </comment>
    <comment ref="E4" authorId="2" shapeId="0" xr:uid="{65A4CA3D-FF16-4E5C-921D-EA88743437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Capacidad Calorifica</t>
      </text>
    </comment>
    <comment ref="F4" authorId="3" shapeId="0" xr:uid="{A7D1B694-5633-4751-9FB5-53A3DFF994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Capacidad Calorifica</t>
      </text>
    </comment>
    <comment ref="G4" authorId="4" shapeId="0" xr:uid="{20554DB7-2449-42EE-84D6-E1C7265049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Coeficiente de transferencia de masa</t>
      </text>
    </comment>
    <comment ref="H4" authorId="5" shapeId="0" xr:uid="{09213289-258D-4C18-B191-CEA7E23B3E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Peso molecular</t>
      </text>
    </comment>
    <comment ref="I4" authorId="6" shapeId="0" xr:uid="{C7085A22-C0C0-4562-A7CF-D42B11A762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Coeficiente masico de dispersion</t>
      </text>
    </comment>
    <comment ref="J4" authorId="7" shapeId="0" xr:uid="{805FBF79-9C49-4EAD-BEE9-26591B90B5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Cantidad de la especie adsorbida por la cama
Respuesta:
    Se calculan por medio de la grafica en el paper</t>
      </text>
    </comment>
    <comment ref="C7" authorId="8" shapeId="0" xr:uid="{3DC78325-3FDF-4211-8038-9277F056EF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Viscosidad de la mezcla</t>
      </text>
    </comment>
    <comment ref="D7" authorId="9" shapeId="0" xr:uid="{D059B188-D5F9-48CE-9B45-4F57EF126A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Conductividad Termica de mezcla</t>
      </text>
    </comment>
    <comment ref="E7" authorId="10" shapeId="0" xr:uid="{6C31E06E-36B7-4A84-9D93-6C69053FCA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Capacidad Calorifica del Gas</t>
      </text>
    </comment>
    <comment ref="B11" authorId="11" shapeId="0" xr:uid="{CCBF8836-836F-419A-80C3-D2A72C8FCE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Densidad de la pared</t>
      </text>
    </comment>
    <comment ref="B12" authorId="12" shapeId="0" xr:uid="{930C86FD-920B-4891-A9AE-1CEB8F2528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Conductividad termica de la pared</t>
      </text>
    </comment>
    <comment ref="B13" authorId="13" shapeId="0" xr:uid="{2EA0A559-E182-48A6-B569-A264F6FB1B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Capacidad calorifica de la pared</t>
      </text>
    </comment>
    <comment ref="B14" authorId="14" shapeId="0" xr:uid="{FE100905-D750-4086-AA4A-7869F41F00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Espesor</t>
      </text>
    </comment>
    <comment ref="Q22" authorId="15" shapeId="0" xr:uid="{C4AAC2B2-EA40-461B-BFCF-B85407AFF4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Temperatura de la pared</t>
      </text>
    </comment>
    <comment ref="B23" authorId="16" shapeId="0" xr:uid="{78217EC4-ACB6-4691-9F47-7D846EAA70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Densidad de particula</t>
      </text>
    </comment>
    <comment ref="I23" authorId="17" shapeId="0" xr:uid="{4600ED2C-1123-4D11-A193-FB7DE18438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Conductividad termica del aire a la temperatura promedio entre la pared y el ambiente</t>
      </text>
    </comment>
    <comment ref="M23" authorId="18" shapeId="0" xr:uid="{FD34150B-4D81-40AB-A009-0D82314FBA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Conductividad efectiva de la cama</t>
      </text>
    </comment>
    <comment ref="Q23" authorId="19" shapeId="0" xr:uid="{9FDA2F4E-1E69-47BE-91E0-EA5AFDDA9A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Temperatura Ambiente</t>
      </text>
    </comment>
    <comment ref="V23" authorId="20" shapeId="0" xr:uid="{77DA33B2-3645-4F91-AB5C-3F7C892989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Temperatura de la pared</t>
      </text>
    </comment>
    <comment ref="B24" authorId="21" shapeId="0" xr:uid="{FE58F49B-EF0F-4C2A-84ED-E4FED3ED8B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Densidad de la cama</t>
      </text>
    </comment>
    <comment ref="I24" authorId="22" shapeId="0" xr:uid="{0D317AE4-4D2E-43BE-8498-6AF560749C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Diametro externo</t>
      </text>
    </comment>
    <comment ref="Q24" authorId="23" shapeId="0" xr:uid="{2A0BAB36-19FA-42A2-AC53-CED4E2765D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Emisividad Termica
Respuesta:
    Acero Inoxidable pulido (Ref. Cengel Trans Calor Masa)</t>
      </text>
    </comment>
    <comment ref="V24" authorId="24" shapeId="0" xr:uid="{143F65EF-C3B8-4E9B-8BD4-431C27534C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Temperatura Ambiente</t>
      </text>
    </comment>
    <comment ref="B25" authorId="25" shapeId="0" xr:uid="{310E004D-5C53-4C9A-B0E5-C30C4230EF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Conductividad termica del adsorbente</t>
      </text>
    </comment>
    <comment ref="I25" authorId="26" shapeId="0" xr:uid="{A99A973D-FECC-4C6C-AD86-CC03018761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Numero de Prantl del aire</t>
      </text>
    </comment>
    <comment ref="Q25" authorId="27" shapeId="0" xr:uid="{75D789C6-03FA-47DF-9EF9-179ABE2FEA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Constante de Stefan-Boltzmann</t>
      </text>
    </comment>
    <comment ref="V25" authorId="28" shapeId="0" xr:uid="{BBA273DA-2F0C-4B5C-8020-4D29E7C899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Emisividad Termica
Respuesta:
    Acero Inoxidable pulido (Ref. Cengel Trans Calor Masa)</t>
      </text>
    </comment>
    <comment ref="B26" authorId="29" shapeId="0" xr:uid="{76EB2E1A-3EEE-4397-81B9-0900FAE284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Capacidad calorifica de la cama</t>
      </text>
    </comment>
    <comment ref="I26" authorId="30" shapeId="0" xr:uid="{4EB74E31-758E-4190-9495-97BD8047A9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Numerp de Rayleigh a la temperatura promedio</t>
      </text>
    </comment>
    <comment ref="V26" authorId="31" shapeId="0" xr:uid="{5B798057-389B-42EC-BC41-01E28DA0FD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Constante de Stefan-Boltzmann</t>
      </text>
    </comment>
    <comment ref="B28" authorId="32" shapeId="0" xr:uid="{3AE5D393-3F3A-4DD1-9783-24324FB2AC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Diametro de particula</t>
      </text>
    </comment>
  </commentList>
</comments>
</file>

<file path=xl/sharedStrings.xml><?xml version="1.0" encoding="utf-8"?>
<sst xmlns="http://schemas.openxmlformats.org/spreadsheetml/2006/main" count="107" uniqueCount="71">
  <si>
    <t>CO2</t>
  </si>
  <si>
    <t>N2</t>
  </si>
  <si>
    <t>Wall</t>
  </si>
  <si>
    <t>Cp</t>
  </si>
  <si>
    <t>A</t>
  </si>
  <si>
    <t>B</t>
  </si>
  <si>
    <t>C</t>
  </si>
  <si>
    <t>D</t>
  </si>
  <si>
    <t>E</t>
  </si>
  <si>
    <t>k</t>
  </si>
  <si>
    <t>µ</t>
  </si>
  <si>
    <t>Adsorbent</t>
  </si>
  <si>
    <t>Ks[W/m*K]</t>
  </si>
  <si>
    <t>Cps[J/kg*K]</t>
  </si>
  <si>
    <t>ρw [Kg/m^3]</t>
  </si>
  <si>
    <t>Kw [W/m*K]</t>
  </si>
  <si>
    <t>Cpw [J/kg*K]</t>
  </si>
  <si>
    <t>ρs [Kg/m^3]</t>
  </si>
  <si>
    <t>ε [bed porosity]</t>
  </si>
  <si>
    <t>dp [m]</t>
  </si>
  <si>
    <t>KL [1/s]</t>
  </si>
  <si>
    <t>Cp [J/kg*K]</t>
  </si>
  <si>
    <t>k [W/m*K]</t>
  </si>
  <si>
    <t>µ [Pa*s]</t>
  </si>
  <si>
    <t>Wall Thickness [m]</t>
  </si>
  <si>
    <t>altura de la cama [m]</t>
  </si>
  <si>
    <t xml:space="preserve">Diametro de la cama [m] </t>
  </si>
  <si>
    <t>ρp [Kg/m^3] [Particle]</t>
  </si>
  <si>
    <t>M[kg/Kmol]</t>
  </si>
  <si>
    <t>Mezcla</t>
  </si>
  <si>
    <t>Disp[m^2/s]</t>
  </si>
  <si>
    <t>qi[mmol/g]</t>
  </si>
  <si>
    <t>Ecuación de Ergun</t>
  </si>
  <si>
    <t>hin[W/m^2*K]</t>
  </si>
  <si>
    <t>hout[W/m^2/K]</t>
  </si>
  <si>
    <t>Do [m]</t>
  </si>
  <si>
    <t>Kair [W/m*K]</t>
  </si>
  <si>
    <t>Prair</t>
  </si>
  <si>
    <t>Ra</t>
  </si>
  <si>
    <t>Keff [W/m*K]</t>
  </si>
  <si>
    <t>Tw [K]</t>
  </si>
  <si>
    <t>Tamb [K]</t>
  </si>
  <si>
    <t>ϵ</t>
  </si>
  <si>
    <t>Toperación [K]</t>
  </si>
  <si>
    <t>=</t>
  </si>
  <si>
    <t>e^IP4i/T=e^(deltaH/RT)</t>
  </si>
  <si>
    <t>e^IP8i/T=e^(deltaH/RT)</t>
  </si>
  <si>
    <t>Pi=YiP</t>
  </si>
  <si>
    <t>ko1=keqi1</t>
  </si>
  <si>
    <t>ko2=keqi2</t>
  </si>
  <si>
    <t>Ip2i=0</t>
  </si>
  <si>
    <t>IP6i=0</t>
  </si>
  <si>
    <t>IP5i=qmi2</t>
  </si>
  <si>
    <t>IP7i=ko2</t>
  </si>
  <si>
    <t>IP1i=qmi1</t>
  </si>
  <si>
    <t>IP3i=Ko1</t>
  </si>
  <si>
    <t>ΔH [J/mol]</t>
  </si>
  <si>
    <t>Co2</t>
  </si>
  <si>
    <t>Φij</t>
  </si>
  <si>
    <t>Gas</t>
  </si>
  <si>
    <t>Deltah1</t>
  </si>
  <si>
    <t>Deltah2</t>
  </si>
  <si>
    <t>Cp [J/mol*K]</t>
  </si>
  <si>
    <t>k0,1=Ip3i(1/bar)</t>
  </si>
  <si>
    <t>qm,2=ip5i</t>
  </si>
  <si>
    <t>k0,2=Ip7i/bar)</t>
  </si>
  <si>
    <t>hin [W/m^2*K]</t>
  </si>
  <si>
    <t>(aTw/an)</t>
  </si>
  <si>
    <t>σ [W/m^2*K^4]</t>
  </si>
  <si>
    <t>qm,1=ip1 (Kmol/Kg)</t>
  </si>
  <si>
    <t>hout [W/m^2*K]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</si>
</sst>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44444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11" fontId="0" fillId="0" borderId="3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0" fontId="1" fillId="0" borderId="0" xfId="0" applyFont="1" applyBorder="1" applyAlignment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0" xfId="0" applyNumberFormat="1" applyAlignment="1">
      <alignment horizontal="center"/>
    </xf>
    <xf numFmtId="11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30</xdr:row>
      <xdr:rowOff>0</xdr:rowOff>
    </xdr:from>
    <xdr:to>
      <xdr:col>13</xdr:col>
      <xdr:colOff>724594</xdr:colOff>
      <xdr:row>43</xdr:row>
      <xdr:rowOff>143246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F0844E-CF67-479A-C2A4-737F41515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9925" y="5715000"/>
          <a:ext cx="4972744" cy="265784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762000</xdr:colOff>
      <xdr:row>17</xdr:row>
      <xdr:rowOff>38100</xdr:rowOff>
    </xdr:from>
    <xdr:to>
      <xdr:col>6</xdr:col>
      <xdr:colOff>334076</xdr:colOff>
      <xdr:row>19</xdr:row>
      <xdr:rowOff>95311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2C079F-CF6E-DA0B-454B-0B6A06B82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3276600"/>
          <a:ext cx="5020376" cy="438211"/>
        </a:xfrm>
        <a:prstGeom prst="rect">
          <a:avLst/>
        </a:prstGeom>
      </xdr:spPr>
    </xdr:pic>
    <xdr:clientData/>
  </xdr:twoCellAnchor>
  <xdr:twoCellAnchor editAs="oneCell">
    <xdr:from>
      <xdr:col>11</xdr:col>
      <xdr:colOff>390525</xdr:colOff>
      <xdr:row>4</xdr:row>
      <xdr:rowOff>85725</xdr:rowOff>
    </xdr:from>
    <xdr:to>
      <xdr:col>17</xdr:col>
      <xdr:colOff>362653</xdr:colOff>
      <xdr:row>9</xdr:row>
      <xdr:rowOff>143016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CC4303-893C-D048-8ECA-11307AF41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4075" y="847725"/>
          <a:ext cx="5039428" cy="1009791"/>
        </a:xfrm>
        <a:prstGeom prst="rect">
          <a:avLst/>
        </a:prstGeom>
      </xdr:spPr>
    </xdr:pic>
    <xdr:clientData/>
  </xdr:twoCellAnchor>
  <xdr:twoCellAnchor editAs="oneCell">
    <xdr:from>
      <xdr:col>6</xdr:col>
      <xdr:colOff>638175</xdr:colOff>
      <xdr:row>15</xdr:row>
      <xdr:rowOff>9525</xdr:rowOff>
    </xdr:from>
    <xdr:to>
      <xdr:col>11</xdr:col>
      <xdr:colOff>114808</xdr:colOff>
      <xdr:row>20</xdr:row>
      <xdr:rowOff>143027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6072147-9E33-A5EC-DE58-2E922B69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00750" y="2867025"/>
          <a:ext cx="3639058" cy="1086002"/>
        </a:xfrm>
        <a:prstGeom prst="rect">
          <a:avLst/>
        </a:prstGeom>
      </xdr:spPr>
    </xdr:pic>
    <xdr:clientData/>
  </xdr:twoCellAnchor>
  <xdr:twoCellAnchor editAs="oneCell">
    <xdr:from>
      <xdr:col>11</xdr:col>
      <xdr:colOff>657225</xdr:colOff>
      <xdr:row>16</xdr:row>
      <xdr:rowOff>57150</xdr:rowOff>
    </xdr:from>
    <xdr:to>
      <xdr:col>15</xdr:col>
      <xdr:colOff>324267</xdr:colOff>
      <xdr:row>19</xdr:row>
      <xdr:rowOff>47703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8597B17-6C75-BA5F-BC01-0B82D17C0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10775" y="3105150"/>
          <a:ext cx="2991267" cy="562053"/>
        </a:xfrm>
        <a:prstGeom prst="rect">
          <a:avLst/>
        </a:prstGeom>
      </xdr:spPr>
    </xdr:pic>
    <xdr:clientData/>
  </xdr:twoCellAnchor>
  <xdr:twoCellAnchor editAs="oneCell">
    <xdr:from>
      <xdr:col>15</xdr:col>
      <xdr:colOff>638175</xdr:colOff>
      <xdr:row>16</xdr:row>
      <xdr:rowOff>161925</xdr:rowOff>
    </xdr:from>
    <xdr:to>
      <xdr:col>19</xdr:col>
      <xdr:colOff>505270</xdr:colOff>
      <xdr:row>19</xdr:row>
      <xdr:rowOff>66741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8B58A69-4E15-8A86-ADB4-DE16A1698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154025" y="3209925"/>
          <a:ext cx="3191320" cy="476316"/>
        </a:xfrm>
        <a:prstGeom prst="rect">
          <a:avLst/>
        </a:prstGeom>
      </xdr:spPr>
    </xdr:pic>
    <xdr:clientData/>
  </xdr:twoCellAnchor>
  <xdr:twoCellAnchor editAs="oneCell">
    <xdr:from>
      <xdr:col>11</xdr:col>
      <xdr:colOff>723900</xdr:colOff>
      <xdr:row>19</xdr:row>
      <xdr:rowOff>47625</xdr:rowOff>
    </xdr:from>
    <xdr:to>
      <xdr:col>13</xdr:col>
      <xdr:colOff>705091</xdr:colOff>
      <xdr:row>21</xdr:row>
      <xdr:rowOff>28626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F90DCE5-D933-5362-7501-5F689A82E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77450" y="3667125"/>
          <a:ext cx="1724266" cy="362001"/>
        </a:xfrm>
        <a:prstGeom prst="rect">
          <a:avLst/>
        </a:prstGeom>
      </xdr:spPr>
    </xdr:pic>
    <xdr:clientData/>
  </xdr:twoCellAnchor>
  <xdr:twoCellAnchor editAs="oneCell">
    <xdr:from>
      <xdr:col>11</xdr:col>
      <xdr:colOff>276225</xdr:colOff>
      <xdr:row>10</xdr:row>
      <xdr:rowOff>57150</xdr:rowOff>
    </xdr:from>
    <xdr:to>
      <xdr:col>16</xdr:col>
      <xdr:colOff>337703</xdr:colOff>
      <xdr:row>12</xdr:row>
      <xdr:rowOff>180975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F2CD62F-9742-1057-9DA9-137B4D24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86950" y="1962150"/>
          <a:ext cx="4176278" cy="504825"/>
        </a:xfrm>
        <a:prstGeom prst="rect">
          <a:avLst/>
        </a:prstGeom>
      </xdr:spPr>
    </xdr:pic>
    <xdr:clientData/>
  </xdr:twoCellAnchor>
  <xdr:twoCellAnchor editAs="oneCell">
    <xdr:from>
      <xdr:col>19</xdr:col>
      <xdr:colOff>714375</xdr:colOff>
      <xdr:row>14</xdr:row>
      <xdr:rowOff>114300</xdr:rowOff>
    </xdr:from>
    <xdr:to>
      <xdr:col>22</xdr:col>
      <xdr:colOff>419390</xdr:colOff>
      <xdr:row>19</xdr:row>
      <xdr:rowOff>57275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564224C-C989-A650-BC47-E3A4A3A12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973550" y="2781300"/>
          <a:ext cx="2076740" cy="895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759023</xdr:colOff>
      <xdr:row>0</xdr:row>
      <xdr:rowOff>0</xdr:rowOff>
    </xdr:from>
    <xdr:to>
      <xdr:col>14</xdr:col>
      <xdr:colOff>400744</xdr:colOff>
      <xdr:row>19</xdr:row>
      <xdr:rowOff>19557</xdr:rowOff>
    </xdr:to>
    <xdr:pic>
      <xdr:nvPicPr>
        <xdr:cNvPr id="20" name="Imagen 1">
          <a:extLst>
            <a:ext uri="{FF2B5EF4-FFF2-40B4-BE49-F238E27FC236}">
              <a16:creationId xmlns:a16="http://schemas.microsoft.com/office/drawing/2014/main" id="{27811DEC-6269-C2B0-930F-F246D6712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7398" y="0"/>
          <a:ext cx="4975721" cy="3639057"/>
        </a:xfrm>
        <a:prstGeom prst="rect">
          <a:avLst/>
        </a:prstGeom>
      </xdr:spPr>
    </xdr:pic>
    <xdr:clientData/>
  </xdr:twoCellAnchor>
  <xdr:twoCellAnchor editAs="oneCell">
    <xdr:from>
      <xdr:col>7</xdr:col>
      <xdr:colOff>511981</xdr:colOff>
      <xdr:row>19</xdr:row>
      <xdr:rowOff>69112</xdr:rowOff>
    </xdr:from>
    <xdr:to>
      <xdr:col>14</xdr:col>
      <xdr:colOff>644201</xdr:colOff>
      <xdr:row>26</xdr:row>
      <xdr:rowOff>0</xdr:rowOff>
    </xdr:to>
    <xdr:pic>
      <xdr:nvPicPr>
        <xdr:cNvPr id="22" name="Picture 5">
          <a:extLst>
            <a:ext uri="{FF2B5EF4-FFF2-40B4-BE49-F238E27FC236}">
              <a16:creationId xmlns:a16="http://schemas.microsoft.com/office/drawing/2014/main" id="{4BC969F6-A48E-5B9E-52E9-650636750FD3}"/>
            </a:ext>
            <a:ext uri="{147F2762-F138-4A5C-976F-8EAC2B608ADB}">
              <a16:predDERef xmlns:a16="http://schemas.microsoft.com/office/drawing/2014/main" pred="{27811DEC-6269-C2B0-930F-F246D6712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3144" y="3646525"/>
          <a:ext cx="5481726" cy="1248882"/>
        </a:xfrm>
        <a:prstGeom prst="rect">
          <a:avLst/>
        </a:prstGeom>
      </xdr:spPr>
    </xdr:pic>
    <xdr:clientData/>
  </xdr:twoCellAnchor>
  <xdr:twoCellAnchor editAs="oneCell">
    <xdr:from>
      <xdr:col>7</xdr:col>
      <xdr:colOff>396948</xdr:colOff>
      <xdr:row>26</xdr:row>
      <xdr:rowOff>82845</xdr:rowOff>
    </xdr:from>
    <xdr:to>
      <xdr:col>14</xdr:col>
      <xdr:colOff>624662</xdr:colOff>
      <xdr:row>44</xdr:row>
      <xdr:rowOff>116596</xdr:rowOff>
    </xdr:to>
    <xdr:pic>
      <xdr:nvPicPr>
        <xdr:cNvPr id="26" name="Imagen 17">
          <a:extLst>
            <a:ext uri="{FF2B5EF4-FFF2-40B4-BE49-F238E27FC236}">
              <a16:creationId xmlns:a16="http://schemas.microsoft.com/office/drawing/2014/main" id="{EFC707DB-2B55-9457-8208-F9B377F33816}"/>
            </a:ext>
            <a:ext uri="{147F2762-F138-4A5C-976F-8EAC2B608ADB}">
              <a16:predDERef xmlns:a16="http://schemas.microsoft.com/office/drawing/2014/main" pred="{4BC969F6-A48E-5B9E-52E9-650636750F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2986" t="23319" r="27977" b="12477"/>
        <a:stretch/>
      </xdr:blipFill>
      <xdr:spPr>
        <a:xfrm>
          <a:off x="7308111" y="4978252"/>
          <a:ext cx="5577220" cy="34228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CTOR ARTUNDUAGA" id="{CD0CB01D-4497-4C29-AC8B-B9EB87E2EB89}" userId="S::victor2172527@correo.uis.edu.co::b78b6493-3879-4851-9104-ef90015b6326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2-05-06T01:50:37.29" personId="{CD0CB01D-4497-4C29-AC8B-B9EB87E2EB89}" id="{2AA8D797-4644-45B4-BE6C-EC349C8D4E23}">
    <text>Viscosidad</text>
  </threadedComment>
  <threadedComment ref="D4" dT="2022-05-06T01:50:29.34" personId="{CD0CB01D-4497-4C29-AC8B-B9EB87E2EB89}" id="{9C26797B-B286-4C1F-838F-76088A44955F}">
    <text>Conductividad termica</text>
  </threadedComment>
  <threadedComment ref="E4" dT="2022-05-06T01:50:19.84" personId="{CD0CB01D-4497-4C29-AC8B-B9EB87E2EB89}" id="{65A4CA3D-FF16-4E5C-921D-EA887434375A}">
    <text>Capacidad Calorifica</text>
  </threadedComment>
  <threadedComment ref="F4" dT="2022-05-06T01:50:19.84" personId="{CD0CB01D-4497-4C29-AC8B-B9EB87E2EB89}" id="{A7D1B694-5633-4751-9FB5-53A3DFF994BE}">
    <text>Capacidad Calorifica</text>
  </threadedComment>
  <threadedComment ref="G4" dT="2022-05-06T01:50:07.60" personId="{CD0CB01D-4497-4C29-AC8B-B9EB87E2EB89}" id="{20554DB7-2449-42EE-84D6-E1C726504967}">
    <text>Coeficiente de transferencia de masa</text>
  </threadedComment>
  <threadedComment ref="H4" dT="2022-05-06T01:49:51.52" personId="{CD0CB01D-4497-4C29-AC8B-B9EB87E2EB89}" id="{09213289-258D-4C18-B191-CEA7E23B3E4A}">
    <text>Peso molecular</text>
  </threadedComment>
  <threadedComment ref="I4" dT="2022-05-06T01:49:38.61" personId="{CD0CB01D-4497-4C29-AC8B-B9EB87E2EB89}" id="{C7085A22-C0C0-4562-A7CF-D42B11A7628D}">
    <text>Coeficiente masico de dispersion</text>
  </threadedComment>
  <threadedComment ref="J4" dT="2022-05-06T01:49:23.54" personId="{CD0CB01D-4497-4C29-AC8B-B9EB87E2EB89}" id="{805FBF79-9C49-4EAD-BEE9-26591B90B54E}">
    <text>Cantidad de la especie adsorbida por la cama</text>
  </threadedComment>
  <threadedComment ref="J4" dT="2022-05-06T03:36:44.75" personId="{CD0CB01D-4497-4C29-AC8B-B9EB87E2EB89}" id="{6166FD50-D452-4D38-B39C-C51B401E8010}" parentId="{805FBF79-9C49-4EAD-BEE9-26591B90B54E}">
    <text>Se calculan por medio de la grafica en el paper</text>
  </threadedComment>
  <threadedComment ref="C7" dT="2022-05-06T03:41:14.63" personId="{CD0CB01D-4497-4C29-AC8B-B9EB87E2EB89}" id="{3DC78325-3FDF-4211-8038-9277F056EF73}">
    <text>Viscosidad de la mezcla</text>
  </threadedComment>
  <threadedComment ref="D7" dT="2022-05-06T03:41:03.87" personId="{CD0CB01D-4497-4C29-AC8B-B9EB87E2EB89}" id="{D059B188-D5F9-48CE-9B45-4F57EF126AC3}">
    <text>Conductividad Termica de mezcla</text>
  </threadedComment>
  <threadedComment ref="E7" dT="2022-05-06T03:41:25.07" personId="{CD0CB01D-4497-4C29-AC8B-B9EB87E2EB89}" id="{6C31E06E-36B7-4A84-9D93-6C69053FCA58}">
    <text>Capacidad Calorifica del Gas</text>
  </threadedComment>
  <threadedComment ref="B11" dT="2022-05-06T01:50:47.68" personId="{CD0CB01D-4497-4C29-AC8B-B9EB87E2EB89}" id="{CCBF8836-836F-419A-80C3-D2A72C8FCE77}">
    <text>Densidad de la pared</text>
  </threadedComment>
  <threadedComment ref="B12" dT="2022-05-06T01:51:00.58" personId="{CD0CB01D-4497-4C29-AC8B-B9EB87E2EB89}" id="{930C86FD-920B-4891-A9AE-1CEB8F252819}">
    <text>Conductividad termica de la pared</text>
  </threadedComment>
  <threadedComment ref="B13" dT="2022-05-06T01:51:11.24" personId="{CD0CB01D-4497-4C29-AC8B-B9EB87E2EB89}" id="{2EA0A559-E182-48A6-B569-A264F6FB1B4E}">
    <text>Capacidad calorifica de la pared</text>
  </threadedComment>
  <threadedComment ref="B14" dT="2022-05-06T01:51:17.48" personId="{CD0CB01D-4497-4C29-AC8B-B9EB87E2EB89}" id="{FE100905-D750-4086-AA4A-7869F41F00F6}">
    <text>Espesor</text>
  </threadedComment>
  <threadedComment ref="Q22" dT="2022-05-06T02:10:49.24" personId="{CD0CB01D-4497-4C29-AC8B-B9EB87E2EB89}" id="{C4AAC2B2-EA40-461B-BFCF-B85407AFF4FC}">
    <text>Temperatura de la pared</text>
  </threadedComment>
  <threadedComment ref="B23" dT="2022-05-06T01:51:28.12" personId="{CD0CB01D-4497-4C29-AC8B-B9EB87E2EB89}" id="{78217EC4-ACB6-4691-9F47-7D846EAA7090}">
    <text>Densidad de particula</text>
  </threadedComment>
  <threadedComment ref="I23" dT="2022-05-06T02:04:31.81" personId="{CD0CB01D-4497-4C29-AC8B-B9EB87E2EB89}" id="{4600ED2C-1123-4D11-A193-FB7DE184381D}">
    <text>Conductividad termica del aire a la temperatura promedio entre la pared y el ambiente</text>
  </threadedComment>
  <threadedComment ref="M23" dT="2022-05-06T02:07:40.30" personId="{CD0CB01D-4497-4C29-AC8B-B9EB87E2EB89}" id="{FD34150B-4D81-40AB-A009-0D82314FBA37}">
    <text>Conductividad efectiva de la cama</text>
  </threadedComment>
  <threadedComment ref="Q23" dT="2022-05-06T02:10:39.52" personId="{CD0CB01D-4497-4C29-AC8B-B9EB87E2EB89}" id="{9FDA2F4E-1E69-47BE-91E0-EA5AFDDA9AD6}">
    <text>Temperatura Ambiente</text>
  </threadedComment>
  <threadedComment ref="V23" dT="2022-05-06T02:10:49.24" personId="{CD0CB01D-4497-4C29-AC8B-B9EB87E2EB89}" id="{77DA33B2-3645-4F91-AB5C-3F7C8929893F}">
    <text>Temperatura de la pared</text>
  </threadedComment>
  <threadedComment ref="B24" dT="2022-05-06T01:51:36.54" personId="{CD0CB01D-4497-4C29-AC8B-B9EB87E2EB89}" id="{FE58F49B-EF0F-4C2A-84ED-E4FED3ED8BF1}">
    <text>Densidad de la cama</text>
  </threadedComment>
  <threadedComment ref="I24" dT="2022-05-06T02:03:50.64" personId="{CD0CB01D-4497-4C29-AC8B-B9EB87E2EB89}" id="{0D317AE4-4D2E-43BE-8498-6AF560749CF6}">
    <text>Diametro externo</text>
  </threadedComment>
  <threadedComment ref="Q24" dT="2022-05-06T02:10:10.66" personId="{CD0CB01D-4497-4C29-AC8B-B9EB87E2EB89}" id="{2A0BAB36-19FA-42A2-AC53-CED4E2765D26}">
    <text>Emisividad Termica</text>
  </threadedComment>
  <threadedComment ref="Q24" dT="2022-05-06T04:26:14.52" personId="{CD0CB01D-4497-4C29-AC8B-B9EB87E2EB89}" id="{045077FF-8FA2-46EF-B90D-8B9302E0451F}" parentId="{2A0BAB36-19FA-42A2-AC53-CED4E2765D26}">
    <text>Acero Inoxidable pulido (Ref. Cengel Trans Calor Masa)</text>
  </threadedComment>
  <threadedComment ref="V24" dT="2022-05-06T02:10:39.52" personId="{CD0CB01D-4497-4C29-AC8B-B9EB87E2EB89}" id="{143F65EF-C3B8-4E9B-8BD4-431C27534C3C}">
    <text>Temperatura Ambiente</text>
  </threadedComment>
  <threadedComment ref="B25" dT="2022-05-06T01:51:49.02" personId="{CD0CB01D-4497-4C29-AC8B-B9EB87E2EB89}" id="{310E004D-5C53-4C9A-B0E5-C30C4230EF5D}">
    <text>Conductividad termica del adsorbente</text>
  </threadedComment>
  <threadedComment ref="I25" dT="2022-05-06T02:05:01.17" personId="{CD0CB01D-4497-4C29-AC8B-B9EB87E2EB89}" id="{A99A973D-FECC-4C6C-AD86-CC0301876159}">
    <text>Numero de Prantl del aire</text>
  </threadedComment>
  <threadedComment ref="Q25" dT="2022-05-06T02:10:30.64" personId="{CD0CB01D-4497-4C29-AC8B-B9EB87E2EB89}" id="{75D789C6-03FA-47DF-9EF9-179ABE2FEADC}">
    <text>Constante de Stefan-Boltzmann</text>
  </threadedComment>
  <threadedComment ref="V25" dT="2022-05-06T02:10:10.66" personId="{CD0CB01D-4497-4C29-AC8B-B9EB87E2EB89}" id="{BBA273DA-2F0C-4B5C-8020-4D29E7C8996F}">
    <text>Emisividad Termica</text>
  </threadedComment>
  <threadedComment ref="V25" dT="2022-05-06T04:26:14.52" personId="{CD0CB01D-4497-4C29-AC8B-B9EB87E2EB89}" id="{A54D3D6F-C3A1-4E02-8A5F-3CC542076E89}" parentId="{BBA273DA-2F0C-4B5C-8020-4D29E7C8996F}">
    <text>Acero Inoxidable pulido (Ref. Cengel Trans Calor Masa)</text>
  </threadedComment>
  <threadedComment ref="B26" dT="2022-05-06T01:52:02.22" personId="{CD0CB01D-4497-4C29-AC8B-B9EB87E2EB89}" id="{76EB2E1A-3EEE-4397-81B9-0900FAE2847D}">
    <text>Capacidad calorifica de la cama</text>
  </threadedComment>
  <threadedComment ref="I26" dT="2022-05-06T02:05:27.20" personId="{CD0CB01D-4497-4C29-AC8B-B9EB87E2EB89}" id="{4EB74E31-758E-4190-9495-97BD8047A9B0}">
    <text>Numerp de Rayleigh a la temperatura promedio</text>
  </threadedComment>
  <threadedComment ref="V26" dT="2022-05-06T02:10:30.64" personId="{CD0CB01D-4497-4C29-AC8B-B9EB87E2EB89}" id="{5B798057-389B-42EC-BC41-01E28DA0FD88}">
    <text>Constante de Stefan-Boltzmann</text>
  </threadedComment>
  <threadedComment ref="B28" dT="2022-05-06T01:52:13.04" personId="{CD0CB01D-4497-4C29-AC8B-B9EB87E2EB89}" id="{3AE5D393-3F3A-4DD1-9783-24324FB2AC39}">
    <text>Diametro de particula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171D8-5FED-4FA4-BA74-4AFA073A72B7}">
  <dimension ref="A1:W43"/>
  <sheetViews>
    <sheetView tabSelected="1" topLeftCell="A13" zoomScale="112" zoomScaleNormal="112" workbookViewId="0">
      <selection activeCell="C25" sqref="C25"/>
    </sheetView>
  </sheetViews>
  <sheetFormatPr baseColWidth="10" defaultColWidth="11.85546875" defaultRowHeight="15" x14ac:dyDescent="0.25"/>
  <cols>
    <col min="2" max="2" width="23.28515625" bestFit="1" customWidth="1"/>
    <col min="3" max="3" width="10.5703125" customWidth="1"/>
    <col min="4" max="4" width="10.7109375" bestFit="1" customWidth="1"/>
    <col min="5" max="5" width="12" bestFit="1" customWidth="1"/>
    <col min="6" max="6" width="13.28515625" bestFit="1" customWidth="1"/>
    <col min="7" max="7" width="11.5703125" bestFit="1" customWidth="1"/>
    <col min="8" max="8" width="11.7109375" bestFit="1" customWidth="1"/>
    <col min="9" max="9" width="15.42578125" bestFit="1" customWidth="1"/>
    <col min="13" max="13" width="14.28515625" bestFit="1" customWidth="1"/>
    <col min="17" max="17" width="14.28515625" bestFit="1" customWidth="1"/>
  </cols>
  <sheetData>
    <row r="1" spans="1:16" x14ac:dyDescent="0.25">
      <c r="B1" s="17" t="s">
        <v>43</v>
      </c>
      <c r="C1" s="18" t="s">
        <v>0</v>
      </c>
      <c r="D1" s="18">
        <v>0.15</v>
      </c>
    </row>
    <row r="2" spans="1:16" x14ac:dyDescent="0.25">
      <c r="B2" s="17">
        <v>323</v>
      </c>
      <c r="C2" s="18" t="s">
        <v>1</v>
      </c>
      <c r="D2" s="18">
        <v>0.85</v>
      </c>
    </row>
    <row r="4" spans="1:16" x14ac:dyDescent="0.25">
      <c r="A4" s="21" t="s">
        <v>58</v>
      </c>
      <c r="B4" s="2" t="s">
        <v>59</v>
      </c>
      <c r="C4" s="14" t="s">
        <v>23</v>
      </c>
      <c r="D4" s="15" t="s">
        <v>22</v>
      </c>
      <c r="E4" t="s">
        <v>21</v>
      </c>
      <c r="F4" t="s">
        <v>62</v>
      </c>
      <c r="G4" t="s">
        <v>20</v>
      </c>
      <c r="H4" t="s">
        <v>28</v>
      </c>
      <c r="I4" s="1" t="s">
        <v>30</v>
      </c>
      <c r="J4" s="1" t="s">
        <v>31</v>
      </c>
      <c r="K4" s="1" t="s">
        <v>56</v>
      </c>
      <c r="L4" s="24" t="s">
        <v>32</v>
      </c>
      <c r="M4" s="24"/>
      <c r="N4" s="24"/>
      <c r="O4" s="24"/>
      <c r="P4" s="24"/>
    </row>
    <row r="5" spans="1:16" x14ac:dyDescent="0.25">
      <c r="A5" s="20">
        <f>((1+((C5/C6)^0.5)*((H6/H5)^0.25))^2)/((8*(1+(H5/H6)))^0.5)</f>
        <v>0.19008521061872963</v>
      </c>
      <c r="B5" s="2" t="s">
        <v>0</v>
      </c>
      <c r="C5" s="4">
        <f>H34+H35*B2+H36*(B2^2)+H37*(B2^3)+H38*(B2^3)</f>
        <v>1.6127133633699999E-5</v>
      </c>
      <c r="D5" s="19">
        <f>F34+F35*B2+F36*(B2^2)+F37*(B2^3)+F38*(B2^3)</f>
        <v>7.8811610992000007</v>
      </c>
      <c r="E5" s="2">
        <f>D34+D35*B2+D36*(B2^2)+D37*(B2^3)+D38*(B2^3)</f>
        <v>874.76817819999997</v>
      </c>
      <c r="F5">
        <f>E5*H5/1000</f>
        <v>38.489799840799996</v>
      </c>
      <c r="G5" s="2">
        <v>0.1215</v>
      </c>
      <c r="H5" s="2">
        <v>44</v>
      </c>
      <c r="I5" s="2"/>
      <c r="J5" s="2">
        <v>7.2</v>
      </c>
      <c r="K5" s="2">
        <f>-(42492.6-6568.83*(J5)+3973.75*(J5^2)-959.838*(J5^3)+69.128*(J5^4))</f>
        <v>-28712.201932800002</v>
      </c>
    </row>
    <row r="6" spans="1:16" x14ac:dyDescent="0.25">
      <c r="B6" s="2" t="s">
        <v>1</v>
      </c>
      <c r="C6" s="4">
        <f>H39+H40*B2+H41*(B2^2)+H42*(B2^3)+H43*(B2^3)</f>
        <v>4.2811795129588234E-3</v>
      </c>
      <c r="D6" s="19">
        <f>F39+F40*B2+F41*(B2^2)+F42*(B2^3)+F43*(B2^3)</f>
        <v>1.5337017508305011</v>
      </c>
      <c r="E6" s="19">
        <f>D39+D40*B2+D41*(B2^2)+D42*(B2^3)+D43*(B2^3)</f>
        <v>1027.9959224787397</v>
      </c>
      <c r="F6">
        <f>E6*H6/1000</f>
        <v>14.391942914702355</v>
      </c>
      <c r="G6" s="2">
        <v>0.28889999999999999</v>
      </c>
      <c r="H6" s="2">
        <v>14</v>
      </c>
      <c r="I6" s="2"/>
      <c r="J6" s="2">
        <v>0.67</v>
      </c>
      <c r="K6" s="2">
        <v>-18000</v>
      </c>
    </row>
    <row r="7" spans="1:16" x14ac:dyDescent="0.25">
      <c r="B7" s="2" t="s">
        <v>29</v>
      </c>
      <c r="C7" s="4">
        <f>(D1*C5)/(D1*A5+D2*A5)+(D2*C6)/(D1*A5+D2*A5)</f>
        <v>1.9156785760487013E-2</v>
      </c>
      <c r="D7" s="19">
        <f>(D1*D5)/(D1*A5+D2*A5)+(D2*D6)/(D1*A5+D2*A5)</f>
        <v>13.077401682090628</v>
      </c>
      <c r="E7" s="2">
        <f>E5*D1+E6*D2</f>
        <v>1005.0117608369287</v>
      </c>
      <c r="F7" s="2"/>
      <c r="G7" s="2"/>
      <c r="H7" s="2"/>
      <c r="I7" s="2"/>
      <c r="J7" s="2"/>
    </row>
    <row r="8" spans="1:16" x14ac:dyDescent="0.25">
      <c r="D8" s="2"/>
      <c r="E8" s="2"/>
      <c r="F8" s="2">
        <f>F5*1000</f>
        <v>38489.799840799998</v>
      </c>
      <c r="G8" s="2"/>
      <c r="H8" s="2"/>
      <c r="I8" s="2"/>
      <c r="J8" s="2"/>
      <c r="K8">
        <f>K5*1000</f>
        <v>-28712201.932800002</v>
      </c>
    </row>
    <row r="9" spans="1:16" x14ac:dyDescent="0.25">
      <c r="F9">
        <f>F6*1000</f>
        <v>14391.942914702355</v>
      </c>
      <c r="K9">
        <f>K6*1000</f>
        <v>-18000000</v>
      </c>
    </row>
    <row r="10" spans="1:16" x14ac:dyDescent="0.25">
      <c r="B10" t="s">
        <v>2</v>
      </c>
    </row>
    <row r="11" spans="1:16" x14ac:dyDescent="0.25">
      <c r="B11" s="22" t="s">
        <v>14</v>
      </c>
      <c r="C11">
        <v>7941</v>
      </c>
    </row>
    <row r="12" spans="1:16" x14ac:dyDescent="0.25">
      <c r="B12" s="2" t="s">
        <v>15</v>
      </c>
      <c r="C12">
        <v>15.14</v>
      </c>
    </row>
    <row r="13" spans="1:16" x14ac:dyDescent="0.25">
      <c r="B13" s="2" t="s">
        <v>16</v>
      </c>
      <c r="C13">
        <f>358.98+0.487394*(B2)-(0.000000265708*(B2^2))</f>
        <v>516.38054095006805</v>
      </c>
    </row>
    <row r="14" spans="1:16" x14ac:dyDescent="0.25">
      <c r="B14" s="2" t="s">
        <v>24</v>
      </c>
      <c r="C14">
        <v>1E-3</v>
      </c>
    </row>
    <row r="15" spans="1:16" x14ac:dyDescent="0.25">
      <c r="B15" s="2" t="s">
        <v>33</v>
      </c>
    </row>
    <row r="16" spans="1:16" x14ac:dyDescent="0.25">
      <c r="B16" s="2" t="s">
        <v>34</v>
      </c>
    </row>
    <row r="21" spans="2:23" x14ac:dyDescent="0.25">
      <c r="Q21" t="s">
        <v>67</v>
      </c>
    </row>
    <row r="22" spans="2:23" x14ac:dyDescent="0.25">
      <c r="B22" s="8" t="s">
        <v>11</v>
      </c>
      <c r="C22" s="8"/>
      <c r="I22" t="s">
        <v>70</v>
      </c>
      <c r="Q22" t="s">
        <v>40</v>
      </c>
      <c r="V22" t="s">
        <v>67</v>
      </c>
      <c r="W22">
        <v>0</v>
      </c>
    </row>
    <row r="23" spans="2:23" x14ac:dyDescent="0.25">
      <c r="B23" s="21" t="s">
        <v>27</v>
      </c>
      <c r="C23" s="8">
        <v>911</v>
      </c>
      <c r="I23" t="s">
        <v>36</v>
      </c>
      <c r="M23" t="s">
        <v>39</v>
      </c>
      <c r="N23">
        <f>C27*D7+(1-C27)*C25</f>
        <v>8.9119687337290827</v>
      </c>
      <c r="Q23" t="s">
        <v>41</v>
      </c>
      <c r="R23">
        <v>298.14999999999998</v>
      </c>
      <c r="V23" t="s">
        <v>40</v>
      </c>
    </row>
    <row r="24" spans="2:23" x14ac:dyDescent="0.25">
      <c r="B24" s="21" t="s">
        <v>17</v>
      </c>
      <c r="C24" s="8">
        <v>297</v>
      </c>
      <c r="I24" t="s">
        <v>35</v>
      </c>
      <c r="J24">
        <f>C30+C14</f>
        <v>5.0000000000000001E-3</v>
      </c>
      <c r="M24" t="s">
        <v>66</v>
      </c>
      <c r="Q24" s="1" t="s">
        <v>42</v>
      </c>
      <c r="R24">
        <v>0.17</v>
      </c>
      <c r="V24" t="s">
        <v>41</v>
      </c>
      <c r="W24">
        <v>298.14999999999998</v>
      </c>
    </row>
    <row r="25" spans="2:23" x14ac:dyDescent="0.25">
      <c r="B25" s="23" t="s">
        <v>12</v>
      </c>
      <c r="C25" s="8">
        <v>0.3</v>
      </c>
      <c r="I25" t="s">
        <v>37</v>
      </c>
      <c r="Q25" s="1" t="s">
        <v>68</v>
      </c>
      <c r="R25" s="3">
        <v>5.6699999999999998E-8</v>
      </c>
      <c r="V25" s="1" t="s">
        <v>42</v>
      </c>
      <c r="W25">
        <v>0.17</v>
      </c>
    </row>
    <row r="26" spans="2:23" x14ac:dyDescent="0.25">
      <c r="B26" s="23" t="s">
        <v>13</v>
      </c>
      <c r="C26" s="8">
        <v>900</v>
      </c>
      <c r="I26" t="s">
        <v>38</v>
      </c>
      <c r="V26" s="1" t="s">
        <v>68</v>
      </c>
      <c r="W26" s="3">
        <v>5.6699999999999998E-8</v>
      </c>
    </row>
    <row r="27" spans="2:23" x14ac:dyDescent="0.25">
      <c r="B27" s="21" t="s">
        <v>18</v>
      </c>
      <c r="C27" s="8">
        <v>0.67400000000000004</v>
      </c>
    </row>
    <row r="28" spans="2:23" x14ac:dyDescent="0.25">
      <c r="B28" s="21" t="s">
        <v>19</v>
      </c>
      <c r="C28" s="8">
        <v>1E-3</v>
      </c>
    </row>
    <row r="29" spans="2:23" x14ac:dyDescent="0.25">
      <c r="B29" s="21" t="s">
        <v>25</v>
      </c>
      <c r="C29" s="8">
        <v>1</v>
      </c>
    </row>
    <row r="30" spans="2:23" x14ac:dyDescent="0.25">
      <c r="B30" s="21" t="s">
        <v>26</v>
      </c>
      <c r="C30" s="8">
        <v>4.0000000000000001E-3</v>
      </c>
    </row>
    <row r="32" spans="2:23" ht="15.75" thickBot="1" x14ac:dyDescent="0.3">
      <c r="C32" s="10"/>
      <c r="D32" s="10"/>
      <c r="E32" s="10"/>
      <c r="F32" s="10"/>
      <c r="G32" s="10"/>
      <c r="H32" s="10"/>
    </row>
    <row r="33" spans="2:8" ht="15.75" thickBot="1" x14ac:dyDescent="0.3">
      <c r="B33" s="10"/>
      <c r="C33" s="28" t="s">
        <v>3</v>
      </c>
      <c r="D33" s="28"/>
      <c r="E33" s="28" t="s">
        <v>9</v>
      </c>
      <c r="F33" s="28"/>
      <c r="G33" s="30" t="s">
        <v>10</v>
      </c>
      <c r="H33" s="28"/>
    </row>
    <row r="34" spans="2:8" x14ac:dyDescent="0.25">
      <c r="B34" s="25" t="s">
        <v>0</v>
      </c>
      <c r="C34" s="7" t="s">
        <v>4</v>
      </c>
      <c r="D34" s="7">
        <v>491.702</v>
      </c>
      <c r="E34" s="7" t="s">
        <v>4</v>
      </c>
      <c r="F34" s="7">
        <v>-6.9415400000000004E-3</v>
      </c>
      <c r="G34" s="7" t="s">
        <v>4</v>
      </c>
      <c r="H34" s="13">
        <v>-1.10128E-6</v>
      </c>
    </row>
    <row r="35" spans="2:8" x14ac:dyDescent="0.25">
      <c r="B35" s="26"/>
      <c r="C35" s="5" t="s">
        <v>5</v>
      </c>
      <c r="D35" s="5">
        <v>1.4360299999999999</v>
      </c>
      <c r="E35" s="5" t="s">
        <v>5</v>
      </c>
      <c r="F35" s="6">
        <v>7.5374600000000002E-5</v>
      </c>
      <c r="G35" s="5" t="s">
        <v>5</v>
      </c>
      <c r="H35" s="6">
        <v>5.8986299999999999E-8</v>
      </c>
    </row>
    <row r="36" spans="2:8" x14ac:dyDescent="0.25">
      <c r="B36" s="26"/>
      <c r="C36" s="5" t="s">
        <v>6</v>
      </c>
      <c r="D36" s="5">
        <v>-7.7419999999999995E-4</v>
      </c>
      <c r="E36" s="5" t="s">
        <v>6</v>
      </c>
      <c r="F36" s="6">
        <v>7.5374600000000002E-5</v>
      </c>
      <c r="G36" s="5" t="s">
        <v>6</v>
      </c>
      <c r="H36" s="6">
        <v>-1.74847E-11</v>
      </c>
    </row>
    <row r="37" spans="2:8" x14ac:dyDescent="0.25">
      <c r="B37" s="26"/>
      <c r="C37" s="5" t="s">
        <v>7</v>
      </c>
      <c r="D37" s="5">
        <v>0</v>
      </c>
      <c r="E37" s="5" t="s">
        <v>7</v>
      </c>
      <c r="F37" s="5">
        <v>0</v>
      </c>
      <c r="G37" s="5" t="s">
        <v>7</v>
      </c>
      <c r="H37" s="5">
        <v>0</v>
      </c>
    </row>
    <row r="38" spans="2:8" ht="15.75" thickBot="1" x14ac:dyDescent="0.3">
      <c r="B38" s="27"/>
      <c r="C38" s="9" t="s">
        <v>8</v>
      </c>
      <c r="D38" s="9">
        <v>0</v>
      </c>
      <c r="E38" s="9" t="s">
        <v>8</v>
      </c>
      <c r="F38" s="9">
        <v>0</v>
      </c>
      <c r="G38" s="9" t="s">
        <v>8</v>
      </c>
      <c r="H38" s="9">
        <v>0</v>
      </c>
    </row>
    <row r="39" spans="2:8" x14ac:dyDescent="0.25">
      <c r="B39" s="29" t="s">
        <v>1</v>
      </c>
      <c r="C39" s="11" t="s">
        <v>4</v>
      </c>
      <c r="D39" s="11">
        <v>938.69920000000002</v>
      </c>
      <c r="E39" s="7" t="s">
        <v>4</v>
      </c>
      <c r="F39" s="7">
        <v>4.7371089999999998E-3</v>
      </c>
      <c r="G39" s="7" t="s">
        <v>4</v>
      </c>
      <c r="H39" s="13">
        <v>7.4733059999999998E-6</v>
      </c>
    </row>
    <row r="40" spans="2:8" x14ac:dyDescent="0.25">
      <c r="B40" s="26"/>
      <c r="C40" s="5" t="s">
        <v>5</v>
      </c>
      <c r="D40" s="5">
        <v>0.30179109999999998</v>
      </c>
      <c r="E40" s="5" t="s">
        <v>5</v>
      </c>
      <c r="F40" s="7">
        <v>4.7371089999999998E-3</v>
      </c>
      <c r="G40" s="5" t="s">
        <v>5</v>
      </c>
      <c r="H40" s="6">
        <v>4.0836890000000002E-8</v>
      </c>
    </row>
    <row r="41" spans="2:8" x14ac:dyDescent="0.25">
      <c r="B41" s="26"/>
      <c r="C41" s="5" t="s">
        <v>6</v>
      </c>
      <c r="D41" s="6">
        <v>-8.1092279999999995E-5</v>
      </c>
      <c r="E41" s="5" t="s">
        <v>6</v>
      </c>
      <c r="F41" s="6">
        <v>-1.122018E-8</v>
      </c>
      <c r="G41" s="5" t="s">
        <v>6</v>
      </c>
      <c r="H41" s="6">
        <v>4.0836890000000002E-8</v>
      </c>
    </row>
    <row r="42" spans="2:8" x14ac:dyDescent="0.25">
      <c r="B42" s="26"/>
      <c r="C42" s="5" t="s">
        <v>7</v>
      </c>
      <c r="D42" s="6">
        <v>8.2638920000000007E-9</v>
      </c>
      <c r="E42" s="5" t="s">
        <v>7</v>
      </c>
      <c r="F42" s="6">
        <v>1.454901E-12</v>
      </c>
      <c r="G42" s="5" t="s">
        <v>7</v>
      </c>
      <c r="H42" s="6">
        <v>1.3056290000000001E-15</v>
      </c>
    </row>
    <row r="43" spans="2:8" ht="15.75" thickBot="1" x14ac:dyDescent="0.3">
      <c r="B43" s="27"/>
      <c r="C43" s="9" t="s">
        <v>8</v>
      </c>
      <c r="D43" s="12">
        <v>-1.537235E-13</v>
      </c>
      <c r="E43" s="9" t="s">
        <v>8</v>
      </c>
      <c r="F43" s="12">
        <v>-7.871726E-17</v>
      </c>
      <c r="G43" s="9" t="s">
        <v>8</v>
      </c>
      <c r="H43" s="12">
        <v>-8.1779360000000002E-20</v>
      </c>
    </row>
  </sheetData>
  <mergeCells count="6">
    <mergeCell ref="L4:P4"/>
    <mergeCell ref="B34:B38"/>
    <mergeCell ref="C33:D33"/>
    <mergeCell ref="B39:B43"/>
    <mergeCell ref="E33:F33"/>
    <mergeCell ref="G33:H3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2073-F812-42B2-966B-66F0933E3DF4}">
  <dimension ref="A2:P18"/>
  <sheetViews>
    <sheetView zoomScale="86" zoomScaleNormal="86" workbookViewId="0">
      <selection activeCell="A16" sqref="A16"/>
    </sheetView>
  </sheetViews>
  <sheetFormatPr baseColWidth="10" defaultRowHeight="15" x14ac:dyDescent="0.25"/>
  <cols>
    <col min="2" max="2" width="22" bestFit="1" customWidth="1"/>
    <col min="4" max="4" width="21" customWidth="1"/>
    <col min="5" max="5" width="15" customWidth="1"/>
  </cols>
  <sheetData>
    <row r="2" spans="1:16" x14ac:dyDescent="0.25">
      <c r="B2" s="2" t="s">
        <v>54</v>
      </c>
    </row>
    <row r="3" spans="1:16" x14ac:dyDescent="0.25">
      <c r="B3" s="2" t="s">
        <v>50</v>
      </c>
    </row>
    <row r="4" spans="1:16" x14ac:dyDescent="0.25">
      <c r="A4" t="s">
        <v>48</v>
      </c>
      <c r="B4" s="2" t="s">
        <v>55</v>
      </c>
    </row>
    <row r="5" spans="1:16" x14ac:dyDescent="0.25">
      <c r="B5" s="2" t="s">
        <v>45</v>
      </c>
    </row>
    <row r="6" spans="1:16" x14ac:dyDescent="0.25">
      <c r="B6" s="2" t="s">
        <v>47</v>
      </c>
    </row>
    <row r="7" spans="1:16" x14ac:dyDescent="0.25">
      <c r="B7" s="16" t="s">
        <v>52</v>
      </c>
    </row>
    <row r="8" spans="1:16" x14ac:dyDescent="0.25">
      <c r="B8" s="2" t="s">
        <v>51</v>
      </c>
    </row>
    <row r="9" spans="1:16" x14ac:dyDescent="0.25">
      <c r="A9" t="s">
        <v>49</v>
      </c>
      <c r="B9" s="2" t="s">
        <v>53</v>
      </c>
    </row>
    <row r="10" spans="1:16" x14ac:dyDescent="0.25">
      <c r="B10" s="2" t="s">
        <v>46</v>
      </c>
      <c r="P10" t="s">
        <v>44</v>
      </c>
    </row>
    <row r="11" spans="1:16" x14ac:dyDescent="0.25">
      <c r="B11" s="2" t="s">
        <v>47</v>
      </c>
    </row>
    <row r="16" spans="1:16" x14ac:dyDescent="0.25">
      <c r="A16" s="2"/>
      <c r="B16" s="2" t="s">
        <v>69</v>
      </c>
      <c r="C16" s="2" t="s">
        <v>64</v>
      </c>
      <c r="D16" s="2" t="s">
        <v>63</v>
      </c>
      <c r="E16" s="2" t="s">
        <v>65</v>
      </c>
      <c r="F16" s="2" t="s">
        <v>60</v>
      </c>
      <c r="G16" s="2" t="s">
        <v>61</v>
      </c>
    </row>
    <row r="17" spans="1:7" x14ac:dyDescent="0.25">
      <c r="A17" s="2" t="s">
        <v>57</v>
      </c>
      <c r="B17" s="2">
        <f>6.8/1000</f>
        <v>6.7999999999999996E-3</v>
      </c>
      <c r="C17" s="2">
        <f>9.9/1000</f>
        <v>9.9000000000000008E-3</v>
      </c>
      <c r="D17" s="4">
        <v>2.4399999999999999E-6</v>
      </c>
      <c r="E17" s="4">
        <v>1.3900000000000001E-5</v>
      </c>
      <c r="F17" s="2">
        <f>42000/Parametros!F5</f>
        <v>1091.1981920851435</v>
      </c>
      <c r="G17" s="2">
        <f>24000/Parametros!F5</f>
        <v>623.54182404865344</v>
      </c>
    </row>
    <row r="18" spans="1:7" x14ac:dyDescent="0.25">
      <c r="A18" s="2" t="s">
        <v>1</v>
      </c>
      <c r="B18" s="2">
        <f>14/1000</f>
        <v>1.4E-2</v>
      </c>
      <c r="C18" s="2">
        <v>0</v>
      </c>
      <c r="D18" s="4">
        <v>4.9599999999999999E-5</v>
      </c>
      <c r="E18" s="2">
        <v>0</v>
      </c>
      <c r="F18" s="2">
        <f>18000/Parametros!F6</f>
        <v>1250.6997913125244</v>
      </c>
      <c r="G18" s="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A76320ECB3D4AA26D1759C4B4A1DB" ma:contentTypeVersion="10" ma:contentTypeDescription="Create a new document." ma:contentTypeScope="" ma:versionID="5b0dbfcf18f122656d75b9b82ddb4160">
  <xsd:schema xmlns:xsd="http://www.w3.org/2001/XMLSchema" xmlns:xs="http://www.w3.org/2001/XMLSchema" xmlns:p="http://schemas.microsoft.com/office/2006/metadata/properties" xmlns:ns3="49bee25b-409c-4cbf-bbb8-fd552aca51d3" xmlns:ns4="6b3cc816-9f14-4f1f-922f-248b0e30bcf8" targetNamespace="http://schemas.microsoft.com/office/2006/metadata/properties" ma:root="true" ma:fieldsID="a3b91fb810a6f96332ff08c44fbd488a" ns3:_="" ns4:_="">
    <xsd:import namespace="49bee25b-409c-4cbf-bbb8-fd552aca51d3"/>
    <xsd:import namespace="6b3cc816-9f14-4f1f-922f-248b0e30bc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ee25b-409c-4cbf-bbb8-fd552aca51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cc816-9f14-4f1f-922f-248b0e30b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71F62B-DD43-432D-B4CD-71A4A4767E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A1236C-262F-4E1D-AFE4-B6229B0EFC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bee25b-409c-4cbf-bbb8-fd552aca51d3"/>
    <ds:schemaRef ds:uri="6b3cc816-9f14-4f1f-922f-248b0e30bc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47CEDE-BDE6-41FE-82C9-C2F5A86133F6}">
  <ds:schemaRefs>
    <ds:schemaRef ds:uri="http://schemas.microsoft.com/office/2006/documentManagement/types"/>
    <ds:schemaRef ds:uri="http://www.w3.org/XML/1998/namespace"/>
    <ds:schemaRef ds:uri="6b3cc816-9f14-4f1f-922f-248b0e30bcf8"/>
    <ds:schemaRef ds:uri="http://purl.org/dc/elements/1.1/"/>
    <ds:schemaRef ds:uri="http://schemas.microsoft.com/office/2006/metadata/properties"/>
    <ds:schemaRef ds:uri="http://purl.org/dc/terms/"/>
    <ds:schemaRef ds:uri="49bee25b-409c-4cbf-bbb8-fd552aca51d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Parametros</vt:lpstr>
      <vt:lpstr>Isoterma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2022-05-06T01:18:07Z</dcterms:created>
  <dcterms:modified xsi:type="dcterms:W3CDTF">2022-05-06T16:56:02Z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0x010100C2FA76320ECB3D4AA26D1759C4B4A1DB</vt:lpwstr>
  </property>
</Properties>
</file>