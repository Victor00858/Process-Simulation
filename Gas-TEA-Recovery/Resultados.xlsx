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https://correouisedu-my.sharepoint.com/personal/victor2172527_correo_uis_edu_co/Documents/eyectores/ArchviosHito_2/Casos_Eyectores/"/>
    </mc:Choice>
  </mc:AlternateContent>
  <xr:revisionPtr revIDLastSave="3588" documentId="8_{F8AFC810-F1E6-4112-968D-25D056211BDF}" xr6:coauthVersionLast="47" xr6:coauthVersionMax="47" xr10:uidLastSave="{FD859916-7F2A-4E8C-BFD2-08F133643DA0}"/>
  <bookViews>
    <workbookView xWindow="-120" yWindow="-120" windowWidth="20730" windowHeight="11040" firstSheet="8" activeTab="1" xr2:uid="{86B3D52A-D881-4740-A82C-BEA577F7113A}"/>
  </bookViews>
  <sheets>
    <sheet name="Caso 1" sheetId="1" r:id="rId1"/>
    <sheet name="Caso 2" sheetId="2" r:id="rId2"/>
    <sheet name="Caso 3" sheetId="3" r:id="rId3"/>
    <sheet name="Caso 4" sheetId="4" r:id="rId4"/>
    <sheet name="Caso 5" sheetId="5" r:id="rId5"/>
    <sheet name="Caso 6" sheetId="6" r:id="rId6"/>
    <sheet name="Caso 7" sheetId="7" r:id="rId7"/>
    <sheet name="Caso 8" sheetId="8" r:id="rId8"/>
    <sheet name="Caso Parcial" sheetId="9" r:id="rId9"/>
  </sheets>
  <definedNames>
    <definedName name="solver_adj" localSheetId="0" hidden="1">'Caso 1'!$G$26</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'Caso 1'!$H$26</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1</definedName>
    <definedName name="solver_typ" localSheetId="0" hidden="1">3</definedName>
    <definedName name="solver_val" localSheetId="0" hidden="1">2.3</definedName>
    <definedName name="solver_ver" localSheetId="0"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8" i="2" l="1"/>
  <c r="C32" i="3"/>
  <c r="D36" i="8"/>
  <c r="E35" i="8"/>
  <c r="D35" i="8"/>
  <c r="F33" i="7"/>
  <c r="E33" i="7"/>
  <c r="D33" i="7"/>
  <c r="E36" i="4"/>
  <c r="D36" i="4"/>
  <c r="C35" i="4"/>
  <c r="D34" i="3"/>
  <c r="C33" i="3"/>
  <c r="E33" i="6"/>
  <c r="C33" i="6"/>
  <c r="C31" i="6"/>
  <c r="C82" i="2"/>
  <c r="B82" i="2"/>
  <c r="C80" i="2"/>
  <c r="D27" i="5"/>
  <c r="D26" i="5"/>
  <c r="C25" i="5"/>
  <c r="C22" i="1"/>
  <c r="D24" i="1" s="1"/>
  <c r="B26" i="1"/>
  <c r="B27" i="1"/>
  <c r="G26" i="1"/>
  <c r="H26" i="1" s="1"/>
  <c r="F12" i="2"/>
  <c r="E12" i="2"/>
  <c r="G81" i="9"/>
  <c r="F81" i="9"/>
  <c r="H66" i="9"/>
  <c r="I64" i="9"/>
  <c r="G68" i="9"/>
  <c r="G67" i="9"/>
  <c r="E35" i="9"/>
  <c r="G77" i="9"/>
  <c r="F77" i="9"/>
  <c r="G43" i="8"/>
  <c r="F43" i="8"/>
  <c r="L37" i="4"/>
  <c r="I38" i="8"/>
  <c r="L35" i="4"/>
  <c r="I36" i="8"/>
  <c r="J35" i="4"/>
  <c r="H36" i="8"/>
  <c r="F39" i="8"/>
  <c r="G39" i="8"/>
  <c r="F41" i="7"/>
  <c r="E41" i="7"/>
  <c r="H33" i="3"/>
  <c r="J30" i="7"/>
  <c r="F33" i="3"/>
  <c r="I32" i="7"/>
  <c r="H33" i="7"/>
  <c r="D33" i="3"/>
  <c r="E37" i="7"/>
  <c r="F37" i="7"/>
  <c r="J38" i="6"/>
  <c r="J37" i="6"/>
  <c r="I31" i="6"/>
  <c r="K80" i="2"/>
  <c r="K78" i="2"/>
  <c r="B79" i="2"/>
  <c r="F37" i="6"/>
  <c r="F33" i="6"/>
  <c r="F38" i="6"/>
  <c r="F49" i="1"/>
  <c r="G62" i="9"/>
  <c r="D50" i="9"/>
  <c r="F64" i="9"/>
  <c r="E64" i="9"/>
  <c r="H62" i="9"/>
  <c r="I62" i="9"/>
  <c r="G63" i="9"/>
  <c r="H63" i="9"/>
  <c r="I63" i="9"/>
  <c r="F62" i="9"/>
  <c r="F63" i="9"/>
  <c r="C63" i="9"/>
  <c r="C34" i="9"/>
  <c r="C40" i="9"/>
  <c r="C38" i="9"/>
  <c r="B38" i="9"/>
  <c r="C31" i="9"/>
  <c r="F31" i="9"/>
  <c r="H31" i="9"/>
  <c r="C35" i="9"/>
  <c r="H32" i="9"/>
  <c r="H30" i="9"/>
  <c r="F32" i="9"/>
  <c r="E32" i="9"/>
  <c r="I16" i="9"/>
  <c r="K13" i="9"/>
  <c r="E27" i="1"/>
  <c r="C31" i="1"/>
  <c r="H17" i="9"/>
  <c r="H36" i="2"/>
  <c r="D49" i="9"/>
  <c r="C51" i="9"/>
  <c r="E51" i="9"/>
  <c r="C50" i="9"/>
  <c r="E50" i="9"/>
  <c r="D48" i="9"/>
  <c r="C49" i="9"/>
  <c r="E49" i="9"/>
  <c r="E48" i="9"/>
  <c r="E13" i="9"/>
  <c r="E14" i="9"/>
  <c r="D14" i="9"/>
  <c r="F14" i="9"/>
  <c r="D15" i="9"/>
  <c r="F15" i="9"/>
  <c r="E12" i="9"/>
  <c r="D13" i="9"/>
  <c r="L54" i="9"/>
  <c r="L55" i="9"/>
  <c r="L56" i="9"/>
  <c r="L57" i="9"/>
  <c r="L58" i="9"/>
  <c r="C68" i="9"/>
  <c r="C69" i="9"/>
  <c r="D69" i="9"/>
  <c r="E63" i="9"/>
  <c r="D63" i="9"/>
  <c r="E62" i="9"/>
  <c r="D62" i="9"/>
  <c r="C62" i="9"/>
  <c r="E31" i="9"/>
  <c r="D31" i="9"/>
  <c r="G31" i="9"/>
  <c r="G30" i="9"/>
  <c r="F30" i="9"/>
  <c r="E30" i="9"/>
  <c r="D30" i="9"/>
  <c r="C30" i="9"/>
  <c r="H13" i="9"/>
  <c r="G13" i="9"/>
  <c r="F13" i="9"/>
  <c r="H12" i="9"/>
  <c r="G12" i="9"/>
  <c r="F12" i="9"/>
  <c r="J31" i="8"/>
  <c r="H31" i="8"/>
  <c r="F31" i="8"/>
  <c r="D31" i="8"/>
  <c r="J33" i="8"/>
  <c r="I33" i="8"/>
  <c r="H33" i="8"/>
  <c r="G33" i="8"/>
  <c r="F33" i="8"/>
  <c r="D33" i="8"/>
  <c r="J30" i="8"/>
  <c r="I30" i="8"/>
  <c r="H30" i="8"/>
  <c r="G30" i="8"/>
  <c r="F30" i="8"/>
  <c r="E30" i="8"/>
  <c r="D30" i="8"/>
  <c r="C30" i="8"/>
  <c r="J29" i="8"/>
  <c r="I29" i="8"/>
  <c r="H29" i="8"/>
  <c r="G29" i="8"/>
  <c r="F29" i="8"/>
  <c r="E29" i="8"/>
  <c r="D29" i="8"/>
  <c r="C29" i="8"/>
  <c r="J18" i="8"/>
  <c r="J17" i="8"/>
  <c r="J19" i="8"/>
  <c r="M18" i="8"/>
  <c r="E14" i="8"/>
  <c r="E15" i="8"/>
  <c r="D16" i="8"/>
  <c r="F16" i="8"/>
  <c r="D15" i="8"/>
  <c r="F15" i="8"/>
  <c r="E13" i="8"/>
  <c r="D14" i="8"/>
  <c r="F14" i="8"/>
  <c r="I13" i="8"/>
  <c r="F13" i="8"/>
  <c r="I12" i="8"/>
  <c r="I11" i="8"/>
  <c r="H31" i="7"/>
  <c r="J17" i="7"/>
  <c r="J15" i="7"/>
  <c r="F31" i="7"/>
  <c r="H29" i="7"/>
  <c r="F29" i="7"/>
  <c r="J16" i="7"/>
  <c r="D31" i="7"/>
  <c r="D29" i="7"/>
  <c r="H28" i="7"/>
  <c r="G28" i="7"/>
  <c r="F28" i="7"/>
  <c r="E28" i="7"/>
  <c r="D28" i="7"/>
  <c r="C28" i="7"/>
  <c r="H27" i="7"/>
  <c r="G27" i="7"/>
  <c r="F27" i="7"/>
  <c r="E27" i="7"/>
  <c r="D27" i="7"/>
  <c r="C27" i="7"/>
  <c r="M16" i="7"/>
  <c r="E13" i="7"/>
  <c r="E14" i="7"/>
  <c r="D15" i="7"/>
  <c r="F15" i="7"/>
  <c r="D14" i="7"/>
  <c r="F14" i="7"/>
  <c r="I13" i="7"/>
  <c r="F13" i="7"/>
  <c r="I12" i="7"/>
  <c r="I11" i="7"/>
  <c r="H31" i="6"/>
  <c r="H29" i="6"/>
  <c r="E31" i="6"/>
  <c r="F31" i="6"/>
  <c r="F29" i="6"/>
  <c r="F27" i="6"/>
  <c r="D31" i="6"/>
  <c r="E12" i="6"/>
  <c r="D13" i="6"/>
  <c r="F13" i="6"/>
  <c r="F12" i="6"/>
  <c r="G31" i="6"/>
  <c r="H28" i="6"/>
  <c r="G28" i="6"/>
  <c r="F28" i="6"/>
  <c r="E28" i="6"/>
  <c r="D28" i="6"/>
  <c r="C28" i="6"/>
  <c r="H27" i="6"/>
  <c r="G27" i="6"/>
  <c r="E27" i="6"/>
  <c r="D27" i="6"/>
  <c r="C27" i="6"/>
  <c r="J16" i="6"/>
  <c r="J17" i="6"/>
  <c r="M16" i="6"/>
  <c r="I13" i="6"/>
  <c r="I12" i="6"/>
  <c r="I11" i="6"/>
  <c r="J17" i="4"/>
  <c r="J18" i="4"/>
  <c r="J19" i="4"/>
  <c r="J24" i="5"/>
  <c r="D24" i="5"/>
  <c r="E20" i="5"/>
  <c r="E21" i="5"/>
  <c r="J23" i="5"/>
  <c r="I24" i="5"/>
  <c r="H24" i="5"/>
  <c r="C21" i="5"/>
  <c r="D21" i="5"/>
  <c r="C20" i="5"/>
  <c r="D20" i="5"/>
  <c r="I23" i="5"/>
  <c r="H23" i="5"/>
  <c r="O33" i="4"/>
  <c r="N33" i="4"/>
  <c r="M33" i="4"/>
  <c r="L33" i="4"/>
  <c r="O31" i="4"/>
  <c r="N31" i="4"/>
  <c r="L31" i="4"/>
  <c r="O29" i="4"/>
  <c r="O30" i="4"/>
  <c r="F51" i="4"/>
  <c r="F44" i="4"/>
  <c r="F50" i="4"/>
  <c r="N29" i="4"/>
  <c r="N30" i="4"/>
  <c r="M29" i="4"/>
  <c r="M30" i="4"/>
  <c r="K31" i="4"/>
  <c r="J31" i="4"/>
  <c r="E44" i="4"/>
  <c r="H31" i="4"/>
  <c r="G31" i="4"/>
  <c r="F31" i="4"/>
  <c r="D33" i="4"/>
  <c r="H33" i="4"/>
  <c r="D31" i="4"/>
  <c r="D44" i="4"/>
  <c r="E40" i="3"/>
  <c r="E41" i="3"/>
  <c r="D42" i="3"/>
  <c r="F42" i="3"/>
  <c r="D41" i="3"/>
  <c r="F41" i="3"/>
  <c r="F40" i="3"/>
  <c r="E14" i="4"/>
  <c r="E13" i="4"/>
  <c r="D14" i="4"/>
  <c r="E15" i="4"/>
  <c r="D16" i="4"/>
  <c r="D15" i="4"/>
  <c r="F15" i="4"/>
  <c r="F16" i="4"/>
  <c r="E51" i="4"/>
  <c r="D51" i="4"/>
  <c r="C51" i="4"/>
  <c r="E50" i="4"/>
  <c r="D50" i="4"/>
  <c r="C50" i="4"/>
  <c r="K33" i="4"/>
  <c r="J33" i="4"/>
  <c r="I33" i="4"/>
  <c r="G33" i="4"/>
  <c r="F33" i="4"/>
  <c r="L30" i="4"/>
  <c r="K30" i="4"/>
  <c r="J30" i="4"/>
  <c r="I30" i="4"/>
  <c r="H30" i="4"/>
  <c r="G30" i="4"/>
  <c r="F30" i="4"/>
  <c r="E30" i="4"/>
  <c r="D30" i="4"/>
  <c r="C30" i="4"/>
  <c r="L29" i="4"/>
  <c r="K29" i="4"/>
  <c r="J29" i="4"/>
  <c r="I29" i="4"/>
  <c r="H29" i="4"/>
  <c r="G29" i="4"/>
  <c r="F29" i="4"/>
  <c r="E29" i="4"/>
  <c r="D29" i="4"/>
  <c r="C29" i="4"/>
  <c r="M18" i="4"/>
  <c r="F14" i="4"/>
  <c r="I13" i="4"/>
  <c r="F13" i="4"/>
  <c r="I12" i="4"/>
  <c r="I11" i="4"/>
  <c r="M16" i="3"/>
  <c r="J17" i="3"/>
  <c r="J16" i="3"/>
  <c r="Q25" i="3"/>
  <c r="J31" i="3"/>
  <c r="K31" i="3"/>
  <c r="L31" i="3"/>
  <c r="I31" i="3"/>
  <c r="H31" i="3"/>
  <c r="L29" i="3"/>
  <c r="K29" i="3"/>
  <c r="J29" i="3"/>
  <c r="K27" i="3"/>
  <c r="L27" i="3"/>
  <c r="K28" i="3"/>
  <c r="L28" i="3"/>
  <c r="J27" i="3"/>
  <c r="J28" i="3"/>
  <c r="I27" i="3"/>
  <c r="I28" i="3"/>
  <c r="Q31" i="3"/>
  <c r="Q32" i="3"/>
  <c r="H29" i="3"/>
  <c r="H27" i="3"/>
  <c r="H28" i="3"/>
  <c r="G31" i="3"/>
  <c r="G29" i="3"/>
  <c r="G27" i="3"/>
  <c r="G28" i="3"/>
  <c r="F29" i="3"/>
  <c r="F31" i="3"/>
  <c r="D31" i="3"/>
  <c r="F27" i="3"/>
  <c r="F28" i="3"/>
  <c r="P25" i="3"/>
  <c r="D29" i="3"/>
  <c r="D27" i="3"/>
  <c r="D28" i="3"/>
  <c r="P32" i="3"/>
  <c r="O32" i="3"/>
  <c r="P31" i="3"/>
  <c r="O31" i="3"/>
  <c r="F31" i="2"/>
  <c r="C32" i="2"/>
  <c r="C31" i="2"/>
  <c r="E81" i="2"/>
  <c r="F81" i="2"/>
  <c r="G81" i="2"/>
  <c r="H81" i="2"/>
  <c r="I81" i="2"/>
  <c r="J81" i="2"/>
  <c r="K81" i="2"/>
  <c r="D81" i="2"/>
  <c r="K77" i="2"/>
  <c r="K75" i="2"/>
  <c r="K76" i="2"/>
  <c r="E80" i="2"/>
  <c r="F80" i="2"/>
  <c r="G80" i="2"/>
  <c r="H80" i="2"/>
  <c r="I80" i="2"/>
  <c r="J80" i="2"/>
  <c r="D80" i="2"/>
  <c r="J78" i="2"/>
  <c r="J77" i="2"/>
  <c r="J75" i="2"/>
  <c r="J76" i="2"/>
  <c r="I77" i="2"/>
  <c r="H77" i="2"/>
  <c r="G77" i="2"/>
  <c r="F77" i="2"/>
  <c r="E77" i="2"/>
  <c r="I78" i="2"/>
  <c r="I76" i="2"/>
  <c r="I75" i="2"/>
  <c r="H78" i="2"/>
  <c r="E78" i="2"/>
  <c r="F78" i="2"/>
  <c r="G78" i="2"/>
  <c r="D78" i="2"/>
  <c r="C75" i="2"/>
  <c r="E59" i="2"/>
  <c r="D59" i="2"/>
  <c r="D60" i="2"/>
  <c r="D102" i="2"/>
  <c r="C102" i="2"/>
  <c r="C101" i="2"/>
  <c r="E96" i="2"/>
  <c r="D96" i="2"/>
  <c r="C96" i="2"/>
  <c r="E95" i="2"/>
  <c r="D95" i="2"/>
  <c r="C95" i="2"/>
  <c r="B28" i="1"/>
  <c r="D32" i="1"/>
  <c r="H29" i="1"/>
  <c r="F32" i="1"/>
  <c r="C32" i="1"/>
  <c r="F23" i="1"/>
  <c r="E23" i="1"/>
  <c r="E28" i="3"/>
  <c r="C28" i="3"/>
  <c r="E27" i="3"/>
  <c r="C27" i="3"/>
  <c r="E13" i="3"/>
  <c r="E14" i="3"/>
  <c r="C58" i="2"/>
  <c r="J59" i="2"/>
  <c r="J60" i="2"/>
  <c r="J61" i="2"/>
  <c r="J56" i="2"/>
  <c r="J55" i="2"/>
  <c r="J54" i="2"/>
  <c r="J53" i="2"/>
  <c r="I59" i="2"/>
  <c r="I60" i="2"/>
  <c r="I61" i="2"/>
  <c r="I56" i="2"/>
  <c r="H56" i="2"/>
  <c r="I55" i="2"/>
  <c r="I53" i="2"/>
  <c r="I54" i="2"/>
  <c r="H59" i="2"/>
  <c r="F59" i="2"/>
  <c r="G59" i="2"/>
  <c r="E60" i="2"/>
  <c r="E61" i="2"/>
  <c r="F60" i="2"/>
  <c r="F61" i="2"/>
  <c r="G60" i="2"/>
  <c r="G61" i="2"/>
  <c r="H60" i="2"/>
  <c r="H61" i="2"/>
  <c r="D61" i="2"/>
  <c r="H75" i="2"/>
  <c r="H76" i="2"/>
  <c r="E76" i="2"/>
  <c r="E75" i="2"/>
  <c r="G75" i="2"/>
  <c r="G76" i="2"/>
  <c r="P74" i="2"/>
  <c r="P81" i="2"/>
  <c r="O81" i="2"/>
  <c r="P80" i="2"/>
  <c r="O80" i="2"/>
  <c r="F76" i="2"/>
  <c r="D76" i="2"/>
  <c r="C76" i="2"/>
  <c r="F75" i="2"/>
  <c r="D75" i="2"/>
  <c r="H55" i="2"/>
  <c r="G55" i="2"/>
  <c r="F55" i="2"/>
  <c r="E55" i="2"/>
  <c r="O50" i="2"/>
  <c r="G56" i="2"/>
  <c r="F56" i="2"/>
  <c r="E56" i="2"/>
  <c r="D56" i="2"/>
  <c r="C56" i="2"/>
  <c r="G29" i="2"/>
  <c r="G28" i="2"/>
  <c r="H54" i="2"/>
  <c r="H53" i="2"/>
  <c r="G54" i="2"/>
  <c r="G53" i="2"/>
  <c r="F54" i="2"/>
  <c r="F53" i="2"/>
  <c r="F37" i="2"/>
  <c r="E31" i="2"/>
  <c r="E37" i="2"/>
  <c r="C37" i="2"/>
  <c r="F35" i="2"/>
  <c r="E35" i="2"/>
  <c r="C35" i="2"/>
  <c r="B35" i="2"/>
  <c r="C29" i="2"/>
  <c r="F29" i="2"/>
  <c r="F32" i="2"/>
  <c r="E29" i="2"/>
  <c r="E32" i="2"/>
  <c r="F28" i="2"/>
  <c r="O57" i="2"/>
  <c r="N57" i="2"/>
  <c r="O56" i="2"/>
  <c r="N56" i="2"/>
  <c r="H12" i="2"/>
  <c r="C54" i="2"/>
  <c r="E54" i="2"/>
  <c r="D54" i="2"/>
  <c r="E53" i="2"/>
  <c r="D53" i="2"/>
  <c r="C53" i="2"/>
  <c r="H13" i="2"/>
  <c r="D13" i="2"/>
  <c r="G13" i="2" s="1"/>
  <c r="G12" i="2"/>
  <c r="D15" i="3"/>
  <c r="D14" i="3"/>
  <c r="E28" i="1"/>
  <c r="E26" i="1"/>
  <c r="D29" i="2"/>
  <c r="E28" i="2"/>
  <c r="L24" i="2"/>
  <c r="D28" i="2"/>
  <c r="C28" i="2"/>
  <c r="L31" i="2"/>
  <c r="K31" i="2"/>
  <c r="L30" i="2"/>
  <c r="K30" i="2"/>
  <c r="F13" i="2"/>
  <c r="I11" i="3"/>
  <c r="I12" i="3"/>
  <c r="F13" i="3"/>
  <c r="I13" i="3"/>
  <c r="F14" i="3"/>
  <c r="F15" i="3"/>
  <c r="L22" i="1"/>
  <c r="L23" i="1"/>
  <c r="N23" i="1"/>
  <c r="P23" i="1"/>
  <c r="C27" i="1"/>
  <c r="D21" i="1"/>
  <c r="C21" i="1"/>
  <c r="C24" i="1"/>
  <c r="D22" i="1"/>
  <c r="I24" i="1"/>
  <c r="H24" i="1"/>
  <c r="I23" i="1"/>
  <c r="H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54" authorId="0" shapeId="0" xr:uid="{AF4B6DB9-9D52-429F-881F-224D4722CCD0}">
      <text>
        <r>
          <rPr>
            <b/>
            <sz val="9"/>
            <color indexed="81"/>
            <rFont val="Tahoma"/>
            <family val="2"/>
          </rPr>
          <t>USER:</t>
        </r>
        <r>
          <rPr>
            <sz val="9"/>
            <color indexed="81"/>
            <rFont val="Tahoma"/>
            <family val="2"/>
          </rPr>
          <t xml:space="preserve">
Este es el limite, mas abajo no tiene solución
</t>
        </r>
      </text>
    </comment>
  </commentList>
</comments>
</file>

<file path=xl/sharedStrings.xml><?xml version="1.0" encoding="utf-8"?>
<sst xmlns="http://schemas.openxmlformats.org/spreadsheetml/2006/main" count="633" uniqueCount="172">
  <si>
    <t>Consideraciones: 1. Se tomo la variable φm=0.937-0.01746(A3/At) haciendo un cambio a la original y se itero una sola vez. 2. Se tomaron los valores de Cp ideales que calcula Hysys para el algoritmo, sin embargo, como aun no se comprende en totalidad la naturaleza del eyector en Hysys se cree que calcula con los valores reales y es por ello la discrepancia menor al 4%. 3.Se tomo el valor de w igual a 0.0229 el cual fue alcanzado por lo investigadores y la eficiencia del eyector se mantuvo en 100% en Hysys. 4. Para el simulador se tomo la variable de tamaño del nozzle primario como dpl y dt para el nozzle secundario. 5. Se itero solo una vez debido a que no fue posible alcanzar la presión deseada en un numero de iteraciones 6. Para aquellos casos en donde no se alcanza la presion desea se reinyecta en otros cabezales de gas en este caso el de 60 psi</t>
  </si>
  <si>
    <t>Fluido Primario</t>
  </si>
  <si>
    <t>Fluido Secundario</t>
  </si>
  <si>
    <t>Fluido Descarga</t>
  </si>
  <si>
    <t>Gas Natural</t>
  </si>
  <si>
    <t>Gas de TEA</t>
  </si>
  <si>
    <t>Gas de Salida</t>
  </si>
  <si>
    <t>Compuestos</t>
  </si>
  <si>
    <t>Fracción Molar</t>
  </si>
  <si>
    <t>methane</t>
  </si>
  <si>
    <t>ethane</t>
  </si>
  <si>
    <t>Resultados</t>
  </si>
  <si>
    <t>propane</t>
  </si>
  <si>
    <t>Dimensiones</t>
  </si>
  <si>
    <t>Eyector 1 Rama 1</t>
  </si>
  <si>
    <t>Eyector 1 Rama 2</t>
  </si>
  <si>
    <t>Propiedades</t>
  </si>
  <si>
    <t>Eyector 1</t>
  </si>
  <si>
    <t>Eyector2</t>
  </si>
  <si>
    <t>butane</t>
  </si>
  <si>
    <t>dt [mm]</t>
  </si>
  <si>
    <t>PMp [Kg/Kmol]</t>
  </si>
  <si>
    <t>isobutane</t>
  </si>
  <si>
    <t>dpl [mm]</t>
  </si>
  <si>
    <t>PMs [Kg/Kmol]</t>
  </si>
  <si>
    <t>ethylene</t>
  </si>
  <si>
    <t>d3 [mm]</t>
  </si>
  <si>
    <t>Pp [Mpa]</t>
  </si>
  <si>
    <t>propylene</t>
  </si>
  <si>
    <t>ds [mm]</t>
  </si>
  <si>
    <t>Tp [K]</t>
  </si>
  <si>
    <t>isopentane</t>
  </si>
  <si>
    <t>Pc algoritmo</t>
  </si>
  <si>
    <t>Ps [Mpa]</t>
  </si>
  <si>
    <t>hydrogen</t>
  </si>
  <si>
    <t>Pc Hysys</t>
  </si>
  <si>
    <t>Ts [K]</t>
  </si>
  <si>
    <t>nitrogen</t>
  </si>
  <si>
    <t>mp [Kg/s]</t>
  </si>
  <si>
    <t>Cpp [KJ/KgK]</t>
  </si>
  <si>
    <t>carbon monoxide</t>
  </si>
  <si>
    <t>ms [Kg/s]</t>
  </si>
  <si>
    <t>Cps [KJ/KgK]</t>
  </si>
  <si>
    <t>carbon dioxide</t>
  </si>
  <si>
    <t>ω</t>
  </si>
  <si>
    <t>Rp [KJ/KgK]</t>
  </si>
  <si>
    <t>hydrogen sulfide</t>
  </si>
  <si>
    <t>oxygen</t>
  </si>
  <si>
    <t>%E</t>
  </si>
  <si>
    <t>Rs [KJ/KgK]</t>
  </si>
  <si>
    <r>
      <t>ϒ</t>
    </r>
    <r>
      <rPr>
        <vertAlign val="subscript"/>
        <sz val="11"/>
        <color theme="1"/>
        <rFont val="Calibri"/>
        <family val="2"/>
      </rPr>
      <t>p</t>
    </r>
  </si>
  <si>
    <t>Total</t>
  </si>
  <si>
    <r>
      <t>ϒ</t>
    </r>
    <r>
      <rPr>
        <vertAlign val="subscript"/>
        <sz val="11"/>
        <color theme="1"/>
        <rFont val="Calibri"/>
        <family val="2"/>
      </rPr>
      <t>s</t>
    </r>
  </si>
  <si>
    <t>Para aquellos casos en donde no se alcanza la presion desea se reinyecta en otros cabezales de gas</t>
  </si>
  <si>
    <t>Se mantiene la razon de arrastre de los inveestigadores y desde el punto de vista operativo se escoge el cabezal</t>
  </si>
  <si>
    <t># ramas</t>
  </si>
  <si>
    <t>#equipos por rama</t>
  </si>
  <si>
    <t>Dimensiones eyectores [mm]</t>
  </si>
  <si>
    <r>
      <t>Pc</t>
    </r>
    <r>
      <rPr>
        <vertAlign val="subscript"/>
        <sz val="12"/>
        <color theme="1"/>
        <rFont val="Times New Roman"/>
        <family val="1"/>
      </rPr>
      <t>algoritmo</t>
    </r>
    <r>
      <rPr>
        <sz val="12"/>
        <color theme="1"/>
        <rFont val="Times New Roman"/>
        <family val="1"/>
      </rPr>
      <t xml:space="preserve"> [Mpa]</t>
    </r>
  </si>
  <si>
    <r>
      <t>|Pc</t>
    </r>
    <r>
      <rPr>
        <vertAlign val="subscript"/>
        <sz val="12"/>
        <color theme="1"/>
        <rFont val="Times New Roman"/>
        <family val="1"/>
      </rPr>
      <t>algoritmo</t>
    </r>
    <r>
      <rPr>
        <sz val="12"/>
        <color theme="1"/>
        <rFont val="Times New Roman"/>
        <family val="1"/>
      </rPr>
      <t>-Pc</t>
    </r>
    <r>
      <rPr>
        <vertAlign val="subscript"/>
        <sz val="12"/>
        <color theme="1"/>
        <rFont val="Times New Roman"/>
        <family val="1"/>
      </rPr>
      <t>Hysys</t>
    </r>
    <r>
      <rPr>
        <sz val="12"/>
        <color theme="1"/>
        <rFont val="Times New Roman"/>
        <family val="1"/>
      </rPr>
      <t>| [%]</t>
    </r>
  </si>
  <si>
    <r>
      <t>ω</t>
    </r>
    <r>
      <rPr>
        <vertAlign val="subscript"/>
        <sz val="12"/>
        <color theme="1"/>
        <rFont val="Times New Roman"/>
        <family val="1"/>
      </rPr>
      <t>Calculado</t>
    </r>
  </si>
  <si>
    <r>
      <t>|ω</t>
    </r>
    <r>
      <rPr>
        <vertAlign val="subscript"/>
        <sz val="12"/>
        <color theme="1"/>
        <rFont val="Times New Roman"/>
        <family val="1"/>
      </rPr>
      <t>calculado -</t>
    </r>
    <r>
      <rPr>
        <sz val="12"/>
        <color theme="1"/>
        <rFont val="Times New Roman"/>
        <family val="1"/>
      </rPr>
      <t>ω</t>
    </r>
    <r>
      <rPr>
        <vertAlign val="subscript"/>
        <sz val="12"/>
        <color theme="1"/>
        <rFont val="Times New Roman"/>
        <family val="1"/>
      </rPr>
      <t>paper</t>
    </r>
    <r>
      <rPr>
        <sz val="12"/>
        <color theme="1"/>
        <rFont val="Times New Roman"/>
        <family val="1"/>
      </rPr>
      <t>| [%]</t>
    </r>
  </si>
  <si>
    <t>Caso 1</t>
  </si>
  <si>
    <t>14-37</t>
  </si>
  <si>
    <t>Caso 5</t>
  </si>
  <si>
    <t>Consideraciones: 1. Se tomo la variable φm=0.937-0.01746(A3/At) haciendo un cambio a la original para todas las iteraciones, sin embargo, con el fin de mantener la variable de diseño constante (Radio de compresión) se ajusto su valor en un rango no superior al 4% de diferencia como se evidencia en los resultados. 2. Se tomaron los valores de Cp ideales que calcula Hysys para el algoritmo, sin embargo, como aun no se comprende en totalidad la naturaleza del eyector en Hysys se cree que calcula con los valores reales y es por ello la discrepancia menor al 10%. 3.Se tomo el valor de w igual a 0.04 inicial y la eficiencia del eyector se mantuvo en 100% en Hysys. 4. Para el simulador se tomo la variable de tamaño del nozzle primario como dpl y dt para el nozzle secundario. 5. Se obto por mantener un flujo de gas natural bajo manteniendo el radio de compresión constante. Por ello el caso 3 fue la elección con un Qm modificado que dio una diferencia menor al 4%</t>
  </si>
  <si>
    <t>RC1=RC2</t>
  </si>
  <si>
    <t>Eyectores</t>
  </si>
  <si>
    <t>Ps</t>
  </si>
  <si>
    <t>Pc</t>
  </si>
  <si>
    <t>Rc</t>
  </si>
  <si>
    <t>RC=Pc/Ps</t>
  </si>
  <si>
    <t>Ps1 = 0.111</t>
  </si>
  <si>
    <t xml:space="preserve">Pc2 = 0.527 </t>
  </si>
  <si>
    <t>Caso 1 Psalida 0.625, Radio de compresión 2.5 dpl primario ds secundario variando Qm</t>
  </si>
  <si>
    <t>Resultados dpl y ds</t>
  </si>
  <si>
    <t>Eyector 2 Qm iterado</t>
  </si>
  <si>
    <t>Eyector 2 Qm = 0.83</t>
  </si>
  <si>
    <t>Eyector 2 Qm = 0.80</t>
  </si>
  <si>
    <t>Eyector 2 Qm = 0.78</t>
  </si>
  <si>
    <t>w</t>
  </si>
  <si>
    <t>mp investigadores</t>
  </si>
  <si>
    <t>mp caso a</t>
  </si>
  <si>
    <t>mp caso b</t>
  </si>
  <si>
    <t>mp caso c</t>
  </si>
  <si>
    <t>w investigadores</t>
  </si>
  <si>
    <t>%E w</t>
  </si>
  <si>
    <t>Caso 2. Presion de salida 0.625, Radio de compresion 2.5 dpl primario y dt secundario</t>
  </si>
  <si>
    <t>Resultados dpl y dt</t>
  </si>
  <si>
    <t>Eyector 2 Qm = 0.8</t>
  </si>
  <si>
    <t>Eyector 2 Qm = 0.81</t>
  </si>
  <si>
    <t>Eyector 2 Qm = 0.814</t>
  </si>
  <si>
    <t>Eyector 2 Qm = 0.82</t>
  </si>
  <si>
    <t>Eyector 2 Qm = 0.825</t>
  </si>
  <si>
    <t>Qm</t>
  </si>
  <si>
    <t>Rama</t>
  </si>
  <si>
    <t>ms total</t>
  </si>
  <si>
    <t>mp</t>
  </si>
  <si>
    <t>Caso 3. Presión de salida al minimo posible (0.53, ya que se requiere al 0.527), Radio de compresión de 2.3 aproximado con el fin de aumentar el w total, dpl primario y dt secundario</t>
  </si>
  <si>
    <t>Modificar el caso 3 para que el radio de compresion de correcto</t>
  </si>
  <si>
    <t>Eyector 2 Qm = 0.79</t>
  </si>
  <si>
    <t>Eyector 2 Qm = 0.788</t>
  </si>
  <si>
    <t>Eyector 2 Qm = 0.786</t>
  </si>
  <si>
    <t>Eyector 2 Qm = 0.789</t>
  </si>
  <si>
    <t>Eyector 2 Qm = 0.791</t>
  </si>
  <si>
    <t>$$$$</t>
  </si>
  <si>
    <t>Caso 4. Radio de compresion con el valor de 3</t>
  </si>
  <si>
    <t>Eyector 2 Qm = 0.86</t>
  </si>
  <si>
    <t xml:space="preserve">Maximar coeficiente ms fijo mp </t>
  </si>
  <si>
    <t>Ms/mp</t>
  </si>
  <si>
    <t>Consideraciones: 1. Se tomo la variable φm=0.937-0.01746(A3/At) haciendo un cambio a la original para todas las iteraciones, sin embargo, con el fin de mantener la variable de diseño constante (Radio de compresión) se ajusto su valor en un rango no superior al 7% de diferencia como se evidencia en los resultados. 2. Se tomaron los valores de Cp ideales que calcula Hysys para el algoritmo, sin embargo, como aun no se comprende en totalidad la naturaleza del eyector en Hysys se cree que calcula con los valores reales y es por ello la discrepancia menor al 2%. 3.Se tomo el valor de w igual a 0.04 inicial y la eficiencia del eyector se mantuvo en 100% en Hysys. 4. Para el simulador se tomo la variable de tamaño del nozzle primario como dpl y dt para el nozzle secundario. 5. Se obto por mantener un flujo de gas natural bajo manteniendo el radio de compresión constante por ello se modifico el Qm</t>
  </si>
  <si>
    <t>Arreglo 3 eyectores, 1 rama, RC constante para cada eyector</t>
  </si>
  <si>
    <t>RC1</t>
  </si>
  <si>
    <t>RC1=RC2=RC3</t>
  </si>
  <si>
    <t>RC2</t>
  </si>
  <si>
    <t>RC3</t>
  </si>
  <si>
    <t xml:space="preserve">Pc3 = </t>
  </si>
  <si>
    <t>mp total</t>
  </si>
  <si>
    <t>Ramas</t>
  </si>
  <si>
    <t>w total</t>
  </si>
  <si>
    <t>Eyector 1 Qm=0.669</t>
  </si>
  <si>
    <t>Eyector 2 Qm = 0.70</t>
  </si>
  <si>
    <t>Eyector 2 Qm =0.71</t>
  </si>
  <si>
    <t>Eyector 2 Qm = 0.701</t>
  </si>
  <si>
    <t>Eyector 3 iterado</t>
  </si>
  <si>
    <t>Eyector 3 Qm = 0.78</t>
  </si>
  <si>
    <t>Eyector 3 Qm = 0.76</t>
  </si>
  <si>
    <t>Eyector 3 Qm = 0.748</t>
  </si>
  <si>
    <t>Eyector 3</t>
  </si>
  <si>
    <t>No resolvio</t>
  </si>
  <si>
    <t>Caso 2. Mantengo el radio de compresión constante con respecto al caso 2</t>
  </si>
  <si>
    <t>Eyector 1 Qm=0.6216</t>
  </si>
  <si>
    <t>Eyector 2 Qm = 0.62</t>
  </si>
  <si>
    <t>Eyector 2 Qm =0.625</t>
  </si>
  <si>
    <t>Eyector 2 Qm = 0.626</t>
  </si>
  <si>
    <t>Eyector 3 Qm = 0.70</t>
  </si>
  <si>
    <t>Eyector 3 Qm = 0.68</t>
  </si>
  <si>
    <t>Eyector 3 Qm = 0.686</t>
  </si>
  <si>
    <t>Eyector 4 iterado</t>
  </si>
  <si>
    <t>Eyector 4 Qm = 0.76</t>
  </si>
  <si>
    <t>Eyector 4 Qm = 0.726</t>
  </si>
  <si>
    <t>Eyector 4</t>
  </si>
  <si>
    <t>Consideraciones: 1. Se tomo la variable φm=0.937-0.01746(A3/At) haciendo un cambio a la original y se itero una sola vez. 2. Se tomaron los valores de Cp ideales que calcula Hysys para el algoritmo, sin embargo, como aun no se comprende en totalidad la naturaleza del eyector en Hysys se cree que calcula con los valores reales y es por ello la discrepancia menor al 4%. 3.Se tomo el valor de w igual a 0.0246 el cual fue alcanzado por lo investigadores y la eficiencia del eyector se mantuvo en 100% en Hysys. 4. Para el simulador se tomo la variable de tamaño del nozzle primario como dpl y dt para el nozzle secundario. 5. Se itero solo una vez debido a que no fue posible alcanzar la presión deseada en un numero de iteraciones 6. Para aquellos casos en donde no se alcanza la presion desea se reinyecta en otros cabezales de gas en este caso el de 60 psi</t>
  </si>
  <si>
    <t>Eyector 1 Rama 3</t>
  </si>
  <si>
    <t>Eyector3</t>
  </si>
  <si>
    <t>Eyector 1 Rama 1 y 2</t>
  </si>
  <si>
    <t>Eyector 2 Qm iterado Rama 1 y 2</t>
  </si>
  <si>
    <t>Eyector 2 Qm = 0.785</t>
  </si>
  <si>
    <t>Eyector 2 Rama 3 Qm iterado</t>
  </si>
  <si>
    <r>
      <t>|φm</t>
    </r>
    <r>
      <rPr>
        <vertAlign val="subscript"/>
        <sz val="12"/>
        <color theme="1"/>
        <rFont val="Times New Roman"/>
        <family val="1"/>
      </rPr>
      <t>Iterado</t>
    </r>
    <r>
      <rPr>
        <sz val="12"/>
        <color theme="1"/>
        <rFont val="Times New Roman"/>
        <family val="1"/>
      </rPr>
      <t xml:space="preserve"> - φm</t>
    </r>
    <r>
      <rPr>
        <vertAlign val="subscript"/>
        <sz val="12"/>
        <color theme="1"/>
        <rFont val="Times New Roman"/>
        <family val="1"/>
      </rPr>
      <t>ajustado</t>
    </r>
    <r>
      <rPr>
        <sz val="12"/>
        <color theme="1"/>
        <rFont val="Times New Roman"/>
        <family val="1"/>
      </rPr>
      <t>| [%]</t>
    </r>
  </si>
  <si>
    <r>
      <t>ω</t>
    </r>
    <r>
      <rPr>
        <vertAlign val="subscript"/>
        <sz val="12"/>
        <color theme="1"/>
        <rFont val="Times New Roman"/>
        <family val="1"/>
      </rPr>
      <t>Calculado</t>
    </r>
    <r>
      <rPr>
        <sz val="12"/>
        <color theme="1"/>
        <rFont val="Times New Roman"/>
        <family val="1"/>
      </rPr>
      <t xml:space="preserve"> Global</t>
    </r>
  </si>
  <si>
    <t>Caso 2</t>
  </si>
  <si>
    <t>Caso 6</t>
  </si>
  <si>
    <t>Eyector 2 Qm = 0.704</t>
  </si>
  <si>
    <t>Eyector 3 Qm = 0.746</t>
  </si>
  <si>
    <t>Caso 3</t>
  </si>
  <si>
    <t>Caso 7</t>
  </si>
  <si>
    <t>Caso 4</t>
  </si>
  <si>
    <t>Caso 8</t>
  </si>
  <si>
    <t>Consideraciones: 1. Se tomo la variable φm=0.937-0.01746(A3/At) haciendo un cambio a la original para todas las iteraciones, sin embargo, con el fin de mantener la variable de diseño constante (Radio de compresión) se ajusto su valor en un rango no superior al 4% de diferencia como se evidencia en los resultados. 2. Se tomaron los valores de Cp ideales que calcula Hysys para el algoritmo, sin embargo, como aun no se comprende en totalidad la naturaleza del eyector en Hysys se cree que calcula con los valores reales y es por ello la discrepancia menor al 10%. 3.Se tomo el valor de w igual a 0.04 inicial y la eficiencia del eyector se mantuvo en 100% en Hysys. 4. Para el simulador se tomo la variable de tamaño del nozzle primario como dpl y dt para el nozzle secundario. 5. Se Tomo la curva de flujo vs presión de salida de los investigadores, se calculo en primera instancia una presión deseable de los investigadores y despues se calculo un radio con base en el flujo manejado como se evidencia en el caso 1. El caso 2 se da ya que no se puede llevar el proceso a un radio de compresión ni de 3 ni de 2.5</t>
  </si>
  <si>
    <t>Caso 1 Radio de compresión 2.1 dpl primario dt secundario variando Qm</t>
  </si>
  <si>
    <t>Eyector 2 Qm = 0.76</t>
  </si>
  <si>
    <t>Eyector 2 Qm = 0.765</t>
  </si>
  <si>
    <t>Eyector 3 Qm iterado</t>
  </si>
  <si>
    <t>Eyector 3 Qm=0.81</t>
  </si>
  <si>
    <t>Caso 2 Radio de compresión 2.3 dpl primario dt secundario variando Qm</t>
  </si>
  <si>
    <t>Mass Flow</t>
  </si>
  <si>
    <t>Radio</t>
  </si>
  <si>
    <t>Eyector 3 Qm=0.85</t>
  </si>
  <si>
    <t>Eyector 3 Qm=0.84</t>
  </si>
  <si>
    <t>Caso P1</t>
  </si>
  <si>
    <t>Caso 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</si>
</sst>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 #,##0.00_-;_-* &quot;-&quot;??_-;_-@_-"/>
    <numFmt numFmtId="165" formatCode="0.0000000"/>
    <numFmt numFmtId="166" formatCode="0.0000"/>
    <numFmt numFmtId="167" formatCode="0.000%"/>
    <numFmt numFmtId="168" formatCode="0.0"/>
    <numFmt numFmtId="169" formatCode="0.00000"/>
    <numFmt numFmtId="170" formatCode="0.000000"/>
    <numFmt numFmtId="171" formatCode="0.000"/>
    <numFmt numFmtId="172" formatCode="0.0000%"/>
    <numFmt numFmtId="173" formatCode="0.00000000"/>
    <numFmt numFmtId="174" formatCode="0.0%"/>
    <numFmt numFmtId="175" formatCode="0.000E+00"/>
    <numFmt numFmtId="176" formatCode="0.000000000"/>
  </numFmts>
  <fonts count="10">
    <font>
      <sz val="11"/>
      <color theme="1"/>
      <name val="Calibri"/>
      <family val="2"/>
      <scheme val="minor"/>
    </font>
    <font>
      <sz val="11"/>
      <color theme="1"/>
      <name val="Calibri"/>
      <family val="2"/>
      <scheme val="minor"/>
    </font>
    <font>
      <sz val="11"/>
      <color theme="1"/>
      <name val="Times New Roman"/>
      <family val="1"/>
    </font>
    <font>
      <sz val="12"/>
      <color theme="1"/>
      <name val="Times New Roman"/>
      <family val="1"/>
    </font>
    <font>
      <vertAlign val="subscript"/>
      <sz val="11"/>
      <color theme="1"/>
      <name val="Calibri"/>
      <family val="2"/>
    </font>
    <font>
      <sz val="11"/>
      <color theme="1"/>
      <name val="Calibri"/>
      <family val="2"/>
    </font>
    <font>
      <sz val="8"/>
      <name val="Calibri"/>
      <family val="2"/>
      <scheme val="minor"/>
    </font>
    <font>
      <sz val="9"/>
      <color indexed="81"/>
      <name val="Tahoma"/>
      <family val="2"/>
    </font>
    <font>
      <b/>
      <sz val="9"/>
      <color indexed="81"/>
      <name val="Tahoma"/>
      <family val="2"/>
    </font>
    <font>
      <vertAlign val="subscript"/>
      <sz val="12"/>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17">
    <border>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top style="double">
        <color indexed="64"/>
      </top>
      <bottom/>
      <diagonal/>
    </border>
    <border>
      <left/>
      <right/>
      <top style="double">
        <color auto="1"/>
      </top>
      <bottom/>
      <diagonal/>
    </border>
    <border>
      <left style="double">
        <color indexed="64"/>
      </left>
      <right/>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38">
    <xf numFmtId="0" fontId="0" fillId="0" borderId="0" xfId="0"/>
    <xf numFmtId="0" fontId="2" fillId="0" borderId="4" xfId="0" applyFont="1" applyBorder="1"/>
    <xf numFmtId="0" fontId="3"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0" xfId="0" applyFont="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10" fontId="2" fillId="0" borderId="12" xfId="0" applyNumberFormat="1" applyFont="1" applyBorder="1"/>
    <xf numFmtId="10" fontId="2" fillId="0" borderId="13" xfId="0" applyNumberFormat="1" applyFont="1" applyBorder="1"/>
    <xf numFmtId="0" fontId="5" fillId="0" borderId="11" xfId="0" applyFont="1" applyBorder="1"/>
    <xf numFmtId="165" fontId="2" fillId="0" borderId="12" xfId="0" applyNumberFormat="1" applyFont="1" applyBorder="1"/>
    <xf numFmtId="165" fontId="2" fillId="0" borderId="13" xfId="0" applyNumberFormat="1" applyFont="1" applyBorder="1"/>
    <xf numFmtId="11" fontId="2" fillId="0" borderId="10" xfId="0" applyNumberFormat="1" applyFont="1" applyBorder="1"/>
    <xf numFmtId="166" fontId="2" fillId="0" borderId="10" xfId="0" applyNumberFormat="1" applyFont="1" applyBorder="1"/>
    <xf numFmtId="10" fontId="0" fillId="0" borderId="0" xfId="1" applyNumberFormat="1" applyFont="1"/>
    <xf numFmtId="165" fontId="2" fillId="0" borderId="9" xfId="0" applyNumberFormat="1" applyFont="1" applyBorder="1"/>
    <xf numFmtId="165" fontId="2" fillId="0" borderId="10" xfId="0" applyNumberFormat="1" applyFont="1" applyBorder="1"/>
    <xf numFmtId="165" fontId="2" fillId="0" borderId="10" xfId="0" applyNumberFormat="1" applyFont="1" applyBorder="1" applyAlignment="1">
      <alignment horizontal="right"/>
    </xf>
    <xf numFmtId="168" fontId="2" fillId="0" borderId="4" xfId="0" applyNumberFormat="1" applyFont="1" applyBorder="1"/>
    <xf numFmtId="0" fontId="3" fillId="0" borderId="0" xfId="0" applyFont="1"/>
    <xf numFmtId="2" fontId="2" fillId="0" borderId="4" xfId="0" applyNumberFormat="1" applyFont="1" applyBorder="1"/>
    <xf numFmtId="11" fontId="2" fillId="0" borderId="13" xfId="0" applyNumberFormat="1" applyFont="1" applyBorder="1"/>
    <xf numFmtId="10" fontId="2" fillId="0" borderId="0" xfId="0" applyNumberFormat="1" applyFont="1"/>
    <xf numFmtId="167" fontId="2" fillId="0" borderId="0" xfId="1" applyNumberFormat="1" applyFont="1"/>
    <xf numFmtId="0" fontId="2" fillId="0" borderId="15" xfId="0" applyFont="1" applyBorder="1"/>
    <xf numFmtId="169" fontId="0" fillId="0" borderId="0" xfId="0" applyNumberFormat="1"/>
    <xf numFmtId="0" fontId="2" fillId="3" borderId="0" xfId="0" applyFont="1" applyFill="1"/>
    <xf numFmtId="10" fontId="2" fillId="3" borderId="0" xfId="0" applyNumberFormat="1" applyFont="1" applyFill="1"/>
    <xf numFmtId="10" fontId="0" fillId="0" borderId="0" xfId="0" applyNumberFormat="1"/>
    <xf numFmtId="170" fontId="2" fillId="0" borderId="10" xfId="0" applyNumberFormat="1" applyFont="1" applyBorder="1"/>
    <xf numFmtId="0" fontId="0" fillId="0" borderId="5" xfId="0" applyBorder="1"/>
    <xf numFmtId="0" fontId="0" fillId="0" borderId="14" xfId="0" applyBorder="1"/>
    <xf numFmtId="11" fontId="2" fillId="0" borderId="14" xfId="0" applyNumberFormat="1" applyFont="1" applyBorder="1"/>
    <xf numFmtId="170" fontId="2" fillId="0" borderId="14" xfId="0" applyNumberFormat="1" applyFont="1" applyBorder="1"/>
    <xf numFmtId="10" fontId="2" fillId="0" borderId="15" xfId="0" applyNumberFormat="1" applyFont="1" applyBorder="1"/>
    <xf numFmtId="170" fontId="0" fillId="0" borderId="0" xfId="2" applyNumberFormat="1" applyFont="1"/>
    <xf numFmtId="171" fontId="2" fillId="0" borderId="0" xfId="0" applyNumberFormat="1" applyFont="1"/>
    <xf numFmtId="0" fontId="0" fillId="0" borderId="4" xfId="0" applyBorder="1"/>
    <xf numFmtId="167" fontId="0" fillId="0" borderId="4" xfId="1" applyNumberFormat="1" applyFont="1" applyBorder="1"/>
    <xf numFmtId="169" fontId="0" fillId="0" borderId="4" xfId="0" applyNumberFormat="1" applyBorder="1"/>
    <xf numFmtId="172" fontId="0" fillId="0" borderId="4" xfId="1" applyNumberFormat="1" applyFont="1" applyBorder="1"/>
    <xf numFmtId="10" fontId="2" fillId="2" borderId="0" xfId="0" applyNumberFormat="1" applyFont="1" applyFill="1"/>
    <xf numFmtId="0" fontId="2" fillId="2" borderId="0" xfId="0" applyFont="1" applyFill="1"/>
    <xf numFmtId="0" fontId="2" fillId="4" borderId="0" xfId="0" applyFont="1" applyFill="1"/>
    <xf numFmtId="10" fontId="2" fillId="4" borderId="0" xfId="0" applyNumberFormat="1" applyFont="1" applyFill="1"/>
    <xf numFmtId="0" fontId="2" fillId="5" borderId="8" xfId="0" applyFont="1" applyFill="1" applyBorder="1"/>
    <xf numFmtId="0" fontId="2" fillId="5" borderId="0" xfId="0" applyFont="1" applyFill="1"/>
    <xf numFmtId="0" fontId="2" fillId="5" borderId="10" xfId="0" applyFont="1" applyFill="1" applyBorder="1"/>
    <xf numFmtId="171" fontId="2" fillId="0" borderId="10" xfId="0" applyNumberFormat="1" applyFont="1" applyBorder="1"/>
    <xf numFmtId="0" fontId="2" fillId="5" borderId="14" xfId="0" applyFont="1" applyFill="1" applyBorder="1"/>
    <xf numFmtId="0" fontId="0" fillId="2" borderId="0" xfId="0" applyFill="1"/>
    <xf numFmtId="172" fontId="0" fillId="0" borderId="0" xfId="1" applyNumberFormat="1" applyFont="1"/>
    <xf numFmtId="170" fontId="2" fillId="0" borderId="0" xfId="0" applyNumberFormat="1" applyFont="1"/>
    <xf numFmtId="0" fontId="0" fillId="3" borderId="0" xfId="0" applyFill="1"/>
    <xf numFmtId="10" fontId="2" fillId="2" borderId="13" xfId="0" applyNumberFormat="1" applyFont="1" applyFill="1" applyBorder="1"/>
    <xf numFmtId="10" fontId="2" fillId="2" borderId="15" xfId="0" applyNumberFormat="1" applyFont="1" applyFill="1" applyBorder="1"/>
    <xf numFmtId="10" fontId="0" fillId="2" borderId="0" xfId="0" applyNumberFormat="1" applyFill="1"/>
    <xf numFmtId="0" fontId="0" fillId="0" borderId="10" xfId="0" applyBorder="1"/>
    <xf numFmtId="172" fontId="0" fillId="0" borderId="0" xfId="1" applyNumberFormat="1" applyFont="1" applyFill="1"/>
    <xf numFmtId="0" fontId="0" fillId="5" borderId="0" xfId="0" applyFill="1"/>
    <xf numFmtId="0" fontId="2" fillId="3" borderId="4" xfId="0" applyFont="1" applyFill="1" applyBorder="1"/>
    <xf numFmtId="0" fontId="2" fillId="3" borderId="14" xfId="0" applyFont="1" applyFill="1" applyBorder="1"/>
    <xf numFmtId="10" fontId="0" fillId="5" borderId="0" xfId="0" applyNumberFormat="1" applyFill="1"/>
    <xf numFmtId="166" fontId="0" fillId="0" borderId="0" xfId="0" applyNumberFormat="1"/>
    <xf numFmtId="11" fontId="2" fillId="0" borderId="0" xfId="0" applyNumberFormat="1" applyFont="1"/>
    <xf numFmtId="167" fontId="0" fillId="0" borderId="0" xfId="1" applyNumberFormat="1" applyFont="1"/>
    <xf numFmtId="11" fontId="0" fillId="0" borderId="0" xfId="0" applyNumberFormat="1"/>
    <xf numFmtId="165" fontId="0" fillId="0" borderId="0" xfId="0" applyNumberFormat="1"/>
    <xf numFmtId="173" fontId="0" fillId="0" borderId="0" xfId="0" applyNumberFormat="1"/>
    <xf numFmtId="0" fontId="0" fillId="0" borderId="16" xfId="0" applyBorder="1"/>
    <xf numFmtId="165" fontId="2" fillId="0" borderId="0" xfId="0" applyNumberFormat="1" applyFont="1"/>
    <xf numFmtId="168" fontId="2" fillId="0" borderId="9" xfId="0" applyNumberFormat="1" applyFont="1" applyBorder="1"/>
    <xf numFmtId="168" fontId="2" fillId="0" borderId="13" xfId="0" applyNumberFormat="1" applyFont="1" applyBorder="1"/>
    <xf numFmtId="174" fontId="0" fillId="0" borderId="0" xfId="1" applyNumberFormat="1" applyFont="1"/>
    <xf numFmtId="167" fontId="0" fillId="0" borderId="0" xfId="1" applyNumberFormat="1" applyFont="1" applyBorder="1"/>
    <xf numFmtId="0" fontId="5" fillId="0" borderId="0" xfId="0" applyFont="1"/>
    <xf numFmtId="171" fontId="2" fillId="0" borderId="13" xfId="0" applyNumberFormat="1" applyFont="1" applyBorder="1"/>
    <xf numFmtId="171" fontId="2" fillId="0" borderId="9" xfId="0" applyNumberFormat="1" applyFont="1" applyBorder="1"/>
    <xf numFmtId="9" fontId="0" fillId="0" borderId="0" xfId="1" applyFont="1"/>
    <xf numFmtId="0" fontId="3" fillId="0" borderId="6" xfId="0" applyFont="1" applyBorder="1"/>
    <xf numFmtId="0" fontId="3" fillId="0" borderId="5" xfId="0" applyFont="1" applyBorder="1"/>
    <xf numFmtId="0" fontId="3" fillId="0" borderId="15" xfId="0" applyFont="1" applyBorder="1"/>
    <xf numFmtId="0" fontId="3" fillId="0" borderId="1" xfId="0" applyFont="1" applyBorder="1"/>
    <xf numFmtId="0" fontId="3" fillId="0" borderId="2" xfId="0" applyFont="1" applyBorder="1"/>
    <xf numFmtId="0" fontId="3" fillId="0" borderId="3" xfId="0" applyFont="1" applyBorder="1"/>
    <xf numFmtId="0" fontId="3" fillId="0" borderId="11" xfId="0" applyFont="1" applyBorder="1"/>
    <xf numFmtId="0" fontId="3" fillId="0" borderId="8" xfId="0" applyFont="1" applyBorder="1" applyAlignment="1">
      <alignment horizontal="center"/>
    </xf>
    <xf numFmtId="0" fontId="3" fillId="0" borderId="0" xfId="0" applyFont="1" applyAlignment="1">
      <alignment horizontal="center"/>
    </xf>
    <xf numFmtId="10" fontId="3" fillId="0" borderId="0" xfId="1" applyNumberFormat="1" applyFont="1" applyBorder="1" applyAlignment="1">
      <alignment horizontal="center"/>
    </xf>
    <xf numFmtId="9" fontId="3" fillId="0" borderId="10" xfId="1" applyFont="1" applyBorder="1" applyAlignment="1">
      <alignment horizontal="center"/>
    </xf>
    <xf numFmtId="10" fontId="3" fillId="0" borderId="12" xfId="1" applyNumberFormat="1" applyFont="1" applyBorder="1" applyAlignment="1">
      <alignment horizontal="center"/>
    </xf>
    <xf numFmtId="0" fontId="3" fillId="0" borderId="12" xfId="0" applyFont="1" applyBorder="1" applyAlignment="1">
      <alignment horizontal="center"/>
    </xf>
    <xf numFmtId="165" fontId="3" fillId="0" borderId="0" xfId="0" applyNumberFormat="1" applyFont="1" applyAlignment="1">
      <alignment horizontal="center"/>
    </xf>
    <xf numFmtId="0" fontId="3" fillId="0" borderId="6" xfId="0" applyFont="1" applyBorder="1" applyAlignment="1">
      <alignment horizontal="center"/>
    </xf>
    <xf numFmtId="10" fontId="3" fillId="0" borderId="7" xfId="1" applyNumberFormat="1" applyFont="1" applyBorder="1" applyAlignment="1">
      <alignment horizontal="center"/>
    </xf>
    <xf numFmtId="0" fontId="3" fillId="0" borderId="7" xfId="0" applyFont="1" applyBorder="1" applyAlignment="1">
      <alignment horizontal="center"/>
    </xf>
    <xf numFmtId="9" fontId="3" fillId="0" borderId="13" xfId="1" applyFont="1" applyBorder="1" applyAlignment="1">
      <alignment horizontal="center"/>
    </xf>
    <xf numFmtId="0" fontId="3" fillId="0" borderId="11" xfId="0" applyFont="1" applyBorder="1" applyAlignment="1">
      <alignment horizontal="center"/>
    </xf>
    <xf numFmtId="17" fontId="3" fillId="0" borderId="12" xfId="0" applyNumberFormat="1" applyFont="1" applyBorder="1" applyAlignment="1">
      <alignment horizontal="center"/>
    </xf>
    <xf numFmtId="166" fontId="3" fillId="0" borderId="12" xfId="0" applyNumberFormat="1" applyFont="1" applyBorder="1" applyAlignment="1">
      <alignment horizontal="center"/>
    </xf>
    <xf numFmtId="10" fontId="3" fillId="0" borderId="10" xfId="1" applyNumberFormat="1" applyFont="1" applyBorder="1" applyAlignment="1">
      <alignment horizontal="center"/>
    </xf>
    <xf numFmtId="17" fontId="3" fillId="0" borderId="7" xfId="0" applyNumberFormat="1" applyFont="1" applyBorder="1" applyAlignment="1">
      <alignment horizontal="center"/>
    </xf>
    <xf numFmtId="166" fontId="3" fillId="0" borderId="7" xfId="0" applyNumberFormat="1" applyFont="1" applyBorder="1" applyAlignment="1">
      <alignment horizontal="center"/>
    </xf>
    <xf numFmtId="10" fontId="3" fillId="0" borderId="9" xfId="1" applyNumberFormat="1" applyFont="1" applyBorder="1" applyAlignment="1">
      <alignment horizontal="center"/>
    </xf>
    <xf numFmtId="10" fontId="3" fillId="0" borderId="13" xfId="1" applyNumberFormat="1" applyFont="1" applyBorder="1" applyAlignment="1">
      <alignment horizontal="center"/>
    </xf>
    <xf numFmtId="10" fontId="3" fillId="0" borderId="7" xfId="0" applyNumberFormat="1" applyFont="1" applyBorder="1" applyAlignment="1">
      <alignment horizontal="center"/>
    </xf>
    <xf numFmtId="174" fontId="3" fillId="0" borderId="12" xfId="1" applyNumberFormat="1" applyFont="1" applyBorder="1" applyAlignment="1">
      <alignment horizontal="center"/>
    </xf>
    <xf numFmtId="0" fontId="3" fillId="0" borderId="14" xfId="0" applyFont="1" applyBorder="1"/>
    <xf numFmtId="0" fontId="3" fillId="0" borderId="9" xfId="0" applyFont="1" applyBorder="1" applyAlignment="1">
      <alignment horizontal="center"/>
    </xf>
    <xf numFmtId="0" fontId="3" fillId="0" borderId="10" xfId="0" applyFont="1" applyBorder="1" applyAlignment="1">
      <alignment horizontal="center"/>
    </xf>
    <xf numFmtId="17" fontId="3" fillId="0" borderId="8" xfId="0" applyNumberFormat="1" applyFont="1" applyBorder="1" applyAlignment="1">
      <alignment horizontal="center"/>
    </xf>
    <xf numFmtId="17" fontId="3" fillId="0" borderId="10" xfId="0" applyNumberFormat="1" applyFont="1" applyBorder="1" applyAlignment="1">
      <alignment horizontal="center"/>
    </xf>
    <xf numFmtId="10" fontId="3" fillId="0" borderId="8" xfId="1" applyNumberFormat="1" applyFont="1" applyBorder="1" applyAlignment="1">
      <alignment horizontal="center"/>
    </xf>
    <xf numFmtId="10" fontId="3" fillId="0" borderId="8" xfId="0" applyNumberFormat="1" applyFont="1" applyBorder="1" applyAlignment="1">
      <alignment horizontal="center"/>
    </xf>
    <xf numFmtId="10" fontId="3" fillId="0" borderId="11" xfId="1" applyNumberFormat="1" applyFont="1" applyBorder="1" applyAlignment="1">
      <alignment horizontal="center"/>
    </xf>
    <xf numFmtId="170" fontId="0" fillId="0" borderId="0" xfId="0" applyNumberFormat="1"/>
    <xf numFmtId="169" fontId="3" fillId="0" borderId="10" xfId="0" applyNumberFormat="1" applyFont="1" applyBorder="1" applyAlignment="1">
      <alignment horizontal="center"/>
    </xf>
    <xf numFmtId="169" fontId="3" fillId="0" borderId="8" xfId="0" applyNumberFormat="1" applyFont="1" applyBorder="1" applyAlignment="1">
      <alignment horizontal="center"/>
    </xf>
    <xf numFmtId="170" fontId="3" fillId="0" borderId="8" xfId="0" applyNumberFormat="1" applyFont="1" applyBorder="1" applyAlignment="1">
      <alignment horizontal="center"/>
    </xf>
    <xf numFmtId="175" fontId="0" fillId="0" borderId="0" xfId="0" applyNumberFormat="1"/>
    <xf numFmtId="173" fontId="2" fillId="0" borderId="0" xfId="0" applyNumberFormat="1" applyFont="1"/>
    <xf numFmtId="176" fontId="2" fillId="0" borderId="0" xfId="0" applyNumberFormat="1" applyFont="1"/>
    <xf numFmtId="173" fontId="2" fillId="0" borderId="10" xfId="0" applyNumberFormat="1" applyFont="1" applyBorder="1"/>
    <xf numFmtId="0" fontId="3" fillId="0" borderId="1" xfId="0" applyFont="1" applyBorder="1" applyAlignment="1">
      <alignment horizontal="center"/>
    </xf>
    <xf numFmtId="0" fontId="3" fillId="0" borderId="3" xfId="0" applyFont="1" applyBorder="1" applyAlignment="1">
      <alignment horizontal="center"/>
    </xf>
    <xf numFmtId="0" fontId="2" fillId="2" borderId="0" xfId="0" applyFont="1" applyFill="1" applyAlignment="1">
      <alignment horizontal="left" vertical="top" wrapText="1"/>
    </xf>
    <xf numFmtId="0" fontId="0" fillId="2" borderId="0" xfId="0" applyFill="1" applyAlignment="1">
      <alignment horizontal="left"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0" xfId="0" applyFont="1" applyAlignment="1">
      <alignment horizontal="center"/>
    </xf>
  </cellXfs>
  <cellStyles count="4">
    <cellStyle name="Comma" xfId="2" builtinId="3"/>
    <cellStyle name="Normal" xfId="0" builtinId="0"/>
    <cellStyle name="Percent" xfId="1" builtinId="5"/>
    <cellStyle name="Porcentaje 2" xfId="3" xr:uid="{18DB2AC6-1EC4-47B5-AD7A-404BA43834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'Caso Parcial'!$K$53</c:f>
              <c:strCache>
                <c:ptCount val="1"/>
                <c:pt idx="0">
                  <c:v>Mass Flow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660301837270341E-2"/>
                  <c:y val="-0.1950061971420239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'Caso Parcial'!$K$54:$K$65</c:f>
              <c:numCache>
                <c:formatCode>General</c:formatCode>
                <c:ptCount val="12"/>
                <c:pt idx="0">
                  <c:v>100</c:v>
                </c:pt>
                <c:pt idx="1">
                  <c:v>500</c:v>
                </c:pt>
                <c:pt idx="2">
                  <c:v>600</c:v>
                </c:pt>
                <c:pt idx="3">
                  <c:v>1000</c:v>
                </c:pt>
                <c:pt idx="4">
                  <c:v>1500</c:v>
                </c:pt>
                <c:pt idx="5">
                  <c:v>2000</c:v>
                </c:pt>
                <c:pt idx="6">
                  <c:v>2500</c:v>
                </c:pt>
                <c:pt idx="7">
                  <c:v>3000</c:v>
                </c:pt>
                <c:pt idx="8">
                  <c:v>3500</c:v>
                </c:pt>
                <c:pt idx="9">
                  <c:v>3600</c:v>
                </c:pt>
                <c:pt idx="10">
                  <c:v>4000</c:v>
                </c:pt>
                <c:pt idx="11">
                  <c:v>4500</c:v>
                </c:pt>
              </c:numCache>
            </c:numRef>
          </c:xVal>
          <c:yVal>
            <c:numRef>
              <c:f>'Caso Parcial'!$L$54:$L$65</c:f>
              <c:numCache>
                <c:formatCode>General</c:formatCode>
                <c:ptCount val="12"/>
                <c:pt idx="0">
                  <c:v>5.1285999999999996</c:v>
                </c:pt>
                <c:pt idx="1">
                  <c:v>4.3765999999999998</c:v>
                </c:pt>
                <c:pt idx="2">
                  <c:v>4.1985999999999999</c:v>
                </c:pt>
                <c:pt idx="3">
                  <c:v>3.5266000000000002</c:v>
                </c:pt>
                <c:pt idx="4">
                  <c:v>2.7766000000000002</c:v>
                </c:pt>
                <c:pt idx="5">
                  <c:v>2.2999999999999998</c:v>
                </c:pt>
                <c:pt idx="6">
                  <c:v>1.75</c:v>
                </c:pt>
                <c:pt idx="7">
                  <c:v>1.4</c:v>
                </c:pt>
                <c:pt idx="8">
                  <c:v>1.18</c:v>
                </c:pt>
                <c:pt idx="9">
                  <c:v>1.06</c:v>
                </c:pt>
                <c:pt idx="10">
                  <c:v>1</c:v>
                </c:pt>
                <c:pt idx="11">
                  <c:v>0.9</c:v>
                </c:pt>
              </c:numCache>
            </c:numRef>
          </c:yVal>
          <c:smooth val="0"/>
          <c:extLst>
            <c:ext xmlns:c16="http://schemas.microsoft.com/office/drawing/2014/chart" uri="{C3380CC4-5D6E-409C-BE32-E72D297353CC}">
              <c16:uniqueId val="{00000000-85E2-4C84-ADE4-01CD34FB409B}"/>
            </c:ext>
          </c:extLst>
        </c:ser>
        <c:dLbls>
          <c:showLegendKey val="0"/>
          <c:showVal val="0"/>
          <c:showCatName val="0"/>
          <c:showSerName val="0"/>
          <c:showPercent val="0"/>
          <c:showBubbleSize val="0"/>
        </c:dLbls>
        <c:axId val="780089872"/>
        <c:axId val="644834448"/>
      </c:scatterChart>
      <c:valAx>
        <c:axId val="780089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834448"/>
        <c:crosses val="autoZero"/>
        <c:crossBetween val="midCat"/>
      </c:valAx>
      <c:valAx>
        <c:axId val="64483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89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400050</xdr:colOff>
      <xdr:row>51</xdr:row>
      <xdr:rowOff>157162</xdr:rowOff>
    </xdr:from>
    <xdr:to>
      <xdr:col>18</xdr:col>
      <xdr:colOff>295275</xdr:colOff>
      <xdr:row>65</xdr:row>
      <xdr:rowOff>138112</xdr:rowOff>
    </xdr:to>
    <xdr:graphicFrame macro="">
      <xdr:nvGraphicFramePr>
        <xdr:cNvPr id="2" name="Gráfico 1">
          <a:extLst>
            <a:ext uri="{FF2B5EF4-FFF2-40B4-BE49-F238E27FC236}">
              <a16:creationId xmlns:a16="http://schemas.microsoft.com/office/drawing/2014/main" id="{AC6EA0FD-4DE2-0461-58A2-52F9E7855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20F34-0F3F-4716-81FE-32729D478F11}">
  <sheetPr codeName="Hoja1"/>
  <dimension ref="A1:R50"/>
  <sheetViews>
    <sheetView showGridLines="0" zoomScaleNormal="100" workbookViewId="0">
      <selection activeCell="C23" sqref="C23"/>
    </sheetView>
  </sheetViews>
  <sheetFormatPr defaultColWidth="11.42578125" defaultRowHeight="15"/>
  <cols>
    <col min="2" max="2" width="14.85546875" bestFit="1" customWidth="1"/>
    <col min="3" max="4" width="16.42578125" bestFit="1" customWidth="1"/>
    <col min="5" max="5" width="17.42578125" bestFit="1" customWidth="1"/>
    <col min="6" max="6" width="15.85546875" bestFit="1" customWidth="1"/>
    <col min="7" max="8" width="21.85546875" bestFit="1" customWidth="1"/>
    <col min="9" max="10" width="19.7109375" bestFit="1" customWidth="1"/>
    <col min="11" max="11" width="15.28515625" bestFit="1" customWidth="1"/>
    <col min="12" max="12" width="13.85546875" bestFit="1" customWidth="1"/>
    <col min="13" max="13" width="15.28515625" bestFit="1" customWidth="1"/>
    <col min="14" max="14" width="13.85546875" bestFit="1" customWidth="1"/>
    <col min="15" max="15" width="15.28515625" bestFit="1" customWidth="1"/>
    <col min="16" max="16" width="13.85546875" bestFit="1" customWidth="1"/>
  </cols>
  <sheetData>
    <row r="1" spans="1:18">
      <c r="A1" s="132" t="s">
        <v>0</v>
      </c>
      <c r="B1" s="133"/>
      <c r="C1" s="133"/>
      <c r="D1" s="133"/>
      <c r="E1" s="133"/>
      <c r="F1" s="133"/>
      <c r="G1" s="133"/>
    </row>
    <row r="2" spans="1:18">
      <c r="A2" s="133"/>
      <c r="B2" s="133"/>
      <c r="C2" s="133"/>
      <c r="D2" s="133"/>
      <c r="E2" s="133"/>
      <c r="F2" s="133"/>
      <c r="G2" s="133"/>
    </row>
    <row r="3" spans="1:18">
      <c r="A3" s="133"/>
      <c r="B3" s="133"/>
      <c r="C3" s="133"/>
      <c r="D3" s="133"/>
      <c r="E3" s="133"/>
      <c r="F3" s="133"/>
      <c r="G3" s="133"/>
    </row>
    <row r="4" spans="1:18">
      <c r="A4" s="133"/>
      <c r="B4" s="133"/>
      <c r="C4" s="133"/>
      <c r="D4" s="133"/>
      <c r="E4" s="133"/>
      <c r="F4" s="133"/>
      <c r="G4" s="133"/>
    </row>
    <row r="5" spans="1:18" ht="16.5" thickBot="1">
      <c r="A5" s="133"/>
      <c r="B5" s="133"/>
      <c r="C5" s="133"/>
      <c r="D5" s="133"/>
      <c r="E5" s="133"/>
      <c r="F5" s="133"/>
      <c r="G5" s="133"/>
      <c r="K5" s="26"/>
    </row>
    <row r="6" spans="1:18" ht="17.25" thickTop="1" thickBot="1">
      <c r="A6" s="133"/>
      <c r="B6" s="133"/>
      <c r="C6" s="133"/>
      <c r="D6" s="133"/>
      <c r="E6" s="133"/>
      <c r="F6" s="133"/>
      <c r="G6" s="133"/>
      <c r="K6" s="134" t="s">
        <v>1</v>
      </c>
      <c r="L6" s="136"/>
      <c r="M6" s="134" t="s">
        <v>2</v>
      </c>
      <c r="N6" s="136"/>
      <c r="O6" s="130" t="s">
        <v>3</v>
      </c>
      <c r="P6" s="131"/>
    </row>
    <row r="7" spans="1:18" ht="17.25" thickTop="1" thickBot="1">
      <c r="A7" s="133"/>
      <c r="B7" s="133"/>
      <c r="C7" s="133"/>
      <c r="D7" s="133"/>
      <c r="E7" s="133"/>
      <c r="F7" s="133"/>
      <c r="G7" s="133"/>
      <c r="K7" s="134" t="s">
        <v>4</v>
      </c>
      <c r="L7" s="136"/>
      <c r="M7" s="134" t="s">
        <v>5</v>
      </c>
      <c r="N7" s="136"/>
      <c r="O7" s="130" t="s">
        <v>6</v>
      </c>
      <c r="P7" s="131"/>
    </row>
    <row r="8" spans="1:18" ht="16.5" thickTop="1" thickBot="1">
      <c r="A8" s="133"/>
      <c r="B8" s="133"/>
      <c r="C8" s="133"/>
      <c r="D8" s="133"/>
      <c r="E8" s="133"/>
      <c r="F8" s="133"/>
      <c r="G8" s="133"/>
      <c r="K8" s="1" t="s">
        <v>7</v>
      </c>
      <c r="L8" s="1" t="s">
        <v>8</v>
      </c>
      <c r="M8" s="1" t="s">
        <v>7</v>
      </c>
      <c r="N8" s="1" t="s">
        <v>8</v>
      </c>
      <c r="O8" s="1" t="s">
        <v>7</v>
      </c>
      <c r="P8" s="1" t="s">
        <v>8</v>
      </c>
    </row>
    <row r="9" spans="1:18" ht="15.75" thickTop="1">
      <c r="K9" s="6" t="s">
        <v>9</v>
      </c>
      <c r="L9" s="8">
        <v>0.18642547000000001</v>
      </c>
      <c r="M9" s="4" t="s">
        <v>9</v>
      </c>
      <c r="N9" s="22">
        <v>0.115</v>
      </c>
      <c r="O9" s="4" t="s">
        <v>9</v>
      </c>
      <c r="P9" s="7">
        <v>0.18574320294148899</v>
      </c>
      <c r="R9" s="21"/>
    </row>
    <row r="10" spans="1:18" ht="15.75" thickBot="1">
      <c r="B10" s="8"/>
      <c r="C10" s="8"/>
      <c r="D10" s="8"/>
      <c r="E10" s="8"/>
      <c r="F10" s="8"/>
      <c r="G10" s="8"/>
      <c r="K10" s="6" t="s">
        <v>10</v>
      </c>
      <c r="L10" s="8">
        <v>0.11498025000000001</v>
      </c>
      <c r="M10" s="6" t="s">
        <v>10</v>
      </c>
      <c r="N10" s="23">
        <v>4.2500000000000003E-2</v>
      </c>
      <c r="O10" s="6" t="s">
        <v>10</v>
      </c>
      <c r="P10" s="9">
        <v>0.114276504008767</v>
      </c>
      <c r="R10" s="21"/>
    </row>
    <row r="11" spans="1:18" ht="16.5" thickTop="1" thickBot="1">
      <c r="B11" s="134" t="s">
        <v>11</v>
      </c>
      <c r="C11" s="135"/>
      <c r="D11" s="136"/>
      <c r="E11" s="8"/>
      <c r="F11" s="8"/>
      <c r="G11" s="134" t="s">
        <v>11</v>
      </c>
      <c r="H11" s="135"/>
      <c r="I11" s="136"/>
      <c r="J11" s="8"/>
      <c r="K11" s="6" t="s">
        <v>12</v>
      </c>
      <c r="L11" s="8">
        <v>8.5472430000000002E-2</v>
      </c>
      <c r="M11" s="6" t="s">
        <v>12</v>
      </c>
      <c r="N11" s="23">
        <v>0.126</v>
      </c>
      <c r="O11" s="6" t="s">
        <v>12</v>
      </c>
      <c r="P11" s="19">
        <v>8.6003285771497906E-2</v>
      </c>
      <c r="R11" s="21"/>
    </row>
    <row r="12" spans="1:18" ht="16.5" thickTop="1" thickBot="1">
      <c r="B12" s="6" t="s">
        <v>13</v>
      </c>
      <c r="C12" s="1" t="s">
        <v>14</v>
      </c>
      <c r="D12" s="1" t="s">
        <v>15</v>
      </c>
      <c r="E12" s="9"/>
      <c r="F12" s="8"/>
      <c r="G12" s="6" t="s">
        <v>16</v>
      </c>
      <c r="H12" s="13" t="s">
        <v>17</v>
      </c>
      <c r="I12" s="9" t="s">
        <v>18</v>
      </c>
      <c r="K12" s="6" t="s">
        <v>19</v>
      </c>
      <c r="L12" s="8">
        <v>5.6234119999999999E-2</v>
      </c>
      <c r="M12" s="6" t="s">
        <v>19</v>
      </c>
      <c r="N12" s="24">
        <v>0.13600000000000001</v>
      </c>
      <c r="O12" s="6" t="s">
        <v>19</v>
      </c>
      <c r="P12" s="19">
        <v>5.71762324429122E-2</v>
      </c>
      <c r="R12" s="21"/>
    </row>
    <row r="13" spans="1:18" ht="15.75" thickTop="1">
      <c r="B13" s="4" t="s">
        <v>20</v>
      </c>
      <c r="C13" s="5">
        <v>14.03843662859275</v>
      </c>
      <c r="D13" s="7">
        <v>14.03843662859275</v>
      </c>
      <c r="F13" s="8"/>
      <c r="G13" s="4" t="s">
        <v>21</v>
      </c>
      <c r="H13" s="5">
        <v>18.415576394438901</v>
      </c>
      <c r="I13" s="7">
        <v>18.415576394438901</v>
      </c>
      <c r="K13" s="6" t="s">
        <v>22</v>
      </c>
      <c r="L13" s="8">
        <v>1.6901030000000001E-2</v>
      </c>
      <c r="M13" s="6" t="s">
        <v>22</v>
      </c>
      <c r="N13" s="23">
        <v>8.3400000000000002E-2</v>
      </c>
      <c r="O13" s="6" t="s">
        <v>22</v>
      </c>
      <c r="P13" s="19">
        <v>1.7658951590361901E-2</v>
      </c>
      <c r="R13" s="21"/>
    </row>
    <row r="14" spans="1:18">
      <c r="B14" s="6" t="s">
        <v>23</v>
      </c>
      <c r="C14" s="8">
        <v>37.333550463782515</v>
      </c>
      <c r="D14" s="9">
        <v>37.333550463782515</v>
      </c>
      <c r="F14" s="8"/>
      <c r="G14" s="6" t="s">
        <v>24</v>
      </c>
      <c r="H14" s="8">
        <v>38.4014043303387</v>
      </c>
      <c r="I14" s="9">
        <v>38.4014043303387</v>
      </c>
      <c r="K14" s="6" t="s">
        <v>25</v>
      </c>
      <c r="L14" s="8">
        <v>0</v>
      </c>
      <c r="M14" s="6" t="s">
        <v>25</v>
      </c>
      <c r="N14" s="23">
        <v>8.5000000000000006E-3</v>
      </c>
      <c r="O14" s="6" t="s">
        <v>25</v>
      </c>
      <c r="P14" s="19">
        <v>9.4897394359715696E-5</v>
      </c>
      <c r="R14" s="21"/>
    </row>
    <row r="15" spans="1:18">
      <c r="B15" s="6" t="s">
        <v>26</v>
      </c>
      <c r="C15" s="8">
        <v>36.554852994499171</v>
      </c>
      <c r="D15" s="9">
        <v>36.554852994499171</v>
      </c>
      <c r="F15" s="8"/>
      <c r="G15" s="6" t="s">
        <v>27</v>
      </c>
      <c r="H15" s="8">
        <v>3.68</v>
      </c>
      <c r="I15" s="9">
        <v>3.68</v>
      </c>
      <c r="K15" s="6" t="s">
        <v>28</v>
      </c>
      <c r="L15" s="8">
        <v>0</v>
      </c>
      <c r="M15" s="6" t="s">
        <v>28</v>
      </c>
      <c r="N15" s="23">
        <v>4.2799999999999998E-2</v>
      </c>
      <c r="O15" s="6" t="s">
        <v>28</v>
      </c>
      <c r="P15" s="19">
        <v>4.7783629159950998E-4</v>
      </c>
      <c r="R15" s="21"/>
    </row>
    <row r="16" spans="1:18">
      <c r="B16" s="52" t="s">
        <v>29</v>
      </c>
      <c r="C16" s="53">
        <v>9.9935706117349206</v>
      </c>
      <c r="D16" s="54">
        <v>9.9935706117349206</v>
      </c>
      <c r="F16" s="8"/>
      <c r="G16" s="6" t="s">
        <v>30</v>
      </c>
      <c r="H16" s="8">
        <v>323.14999999999998</v>
      </c>
      <c r="I16" s="9">
        <v>323.14999999999998</v>
      </c>
      <c r="K16" s="6" t="s">
        <v>31</v>
      </c>
      <c r="L16" s="8">
        <v>3.5538609999999998E-2</v>
      </c>
      <c r="M16" s="6" t="s">
        <v>31</v>
      </c>
      <c r="N16" s="23">
        <v>0.11799999999999999</v>
      </c>
      <c r="O16" s="6" t="s">
        <v>31</v>
      </c>
      <c r="P16" s="19">
        <v>3.6491835607010401E-2</v>
      </c>
      <c r="R16" s="21"/>
    </row>
    <row r="17" spans="2:18">
      <c r="B17" s="6" t="s">
        <v>32</v>
      </c>
      <c r="C17" s="8">
        <v>0.38021627474064401</v>
      </c>
      <c r="D17" s="9">
        <v>0.38021627474064407</v>
      </c>
      <c r="E17">
        <v>0.53</v>
      </c>
      <c r="F17" s="8"/>
      <c r="G17" s="6" t="s">
        <v>33</v>
      </c>
      <c r="H17" s="8">
        <v>0.111</v>
      </c>
      <c r="I17" s="9">
        <v>0.111</v>
      </c>
      <c r="K17" s="6" t="s">
        <v>34</v>
      </c>
      <c r="L17" s="8">
        <v>0.49017537</v>
      </c>
      <c r="M17" s="6" t="s">
        <v>34</v>
      </c>
      <c r="N17" s="23">
        <v>0.124</v>
      </c>
      <c r="O17" s="6" t="s">
        <v>34</v>
      </c>
      <c r="P17" s="9">
        <v>0.48653679915259901</v>
      </c>
      <c r="R17" s="21"/>
    </row>
    <row r="18" spans="2:18">
      <c r="B18" s="6" t="s">
        <v>35</v>
      </c>
      <c r="C18" s="8">
        <v>0.368556992318127</v>
      </c>
      <c r="D18" s="8">
        <v>0.36855698624510402</v>
      </c>
      <c r="E18">
        <v>0.625</v>
      </c>
      <c r="F18" s="8"/>
      <c r="G18" s="6" t="s">
        <v>36</v>
      </c>
      <c r="H18" s="8">
        <v>313.14999999999998</v>
      </c>
      <c r="I18" s="9">
        <v>313.14999999999998</v>
      </c>
      <c r="K18" s="6" t="s">
        <v>37</v>
      </c>
      <c r="L18" s="8">
        <v>1.3363750000000001E-2</v>
      </c>
      <c r="M18" s="6" t="s">
        <v>37</v>
      </c>
      <c r="N18" s="23">
        <v>0.152</v>
      </c>
      <c r="O18" s="6" t="s">
        <v>37</v>
      </c>
      <c r="P18" s="19">
        <v>1.4923796826428E-2</v>
      </c>
      <c r="R18" s="21"/>
    </row>
    <row r="19" spans="2:18">
      <c r="B19" s="6" t="s">
        <v>38</v>
      </c>
      <c r="C19" s="8">
        <v>0.89624918069727078</v>
      </c>
      <c r="D19" s="9">
        <v>0.89624918069727078</v>
      </c>
      <c r="F19" s="8"/>
      <c r="G19" s="6" t="s">
        <v>39</v>
      </c>
      <c r="H19" s="8">
        <v>2.5351854169746502</v>
      </c>
      <c r="I19" s="9">
        <v>2.5351854169746502</v>
      </c>
      <c r="K19" s="6" t="s">
        <v>40</v>
      </c>
      <c r="L19" s="8">
        <v>0</v>
      </c>
      <c r="M19" s="6" t="s">
        <v>40</v>
      </c>
      <c r="N19" s="23">
        <v>1.2659999999999999E-2</v>
      </c>
      <c r="O19" s="6" t="s">
        <v>40</v>
      </c>
      <c r="P19" s="19">
        <v>1.41341295599294E-4</v>
      </c>
      <c r="R19" s="21"/>
    </row>
    <row r="20" spans="2:18">
      <c r="B20" s="6" t="s">
        <v>41</v>
      </c>
      <c r="C20" s="8">
        <v>2.05241062379675E-2</v>
      </c>
      <c r="D20" s="19">
        <v>2.05241062379675E-2</v>
      </c>
      <c r="F20" s="8"/>
      <c r="G20" s="6" t="s">
        <v>42</v>
      </c>
      <c r="H20" s="8">
        <v>1.7472859567054599</v>
      </c>
      <c r="I20" s="9">
        <v>1.7472859567054599</v>
      </c>
      <c r="K20" s="6" t="s">
        <v>43</v>
      </c>
      <c r="L20" s="8">
        <v>0</v>
      </c>
      <c r="M20" s="6" t="s">
        <v>43</v>
      </c>
      <c r="N20" s="23">
        <v>2.8E-3</v>
      </c>
      <c r="O20" s="6" t="s">
        <v>43</v>
      </c>
      <c r="P20" s="19">
        <v>3.1260318142023998E-5</v>
      </c>
      <c r="R20" s="21"/>
    </row>
    <row r="21" spans="2:18">
      <c r="B21" s="6" t="s">
        <v>44</v>
      </c>
      <c r="C21" s="8">
        <f>C20/C19</f>
        <v>2.29E-2</v>
      </c>
      <c r="D21" s="20">
        <f>D20/D19</f>
        <v>2.29E-2</v>
      </c>
      <c r="F21" s="8"/>
      <c r="G21" s="6" t="s">
        <v>45</v>
      </c>
      <c r="H21" s="8">
        <v>0.4512702379996899</v>
      </c>
      <c r="I21" s="9">
        <v>0.4512702379996899</v>
      </c>
      <c r="K21" s="6" t="s">
        <v>46</v>
      </c>
      <c r="L21" s="8">
        <v>0</v>
      </c>
      <c r="M21" s="6" t="s">
        <v>47</v>
      </c>
      <c r="N21" s="23">
        <v>7.1000000000000004E-3</v>
      </c>
      <c r="O21" s="6" t="s">
        <v>47</v>
      </c>
      <c r="P21" s="19">
        <v>3.6367268401205202E-4</v>
      </c>
      <c r="R21" s="21"/>
    </row>
    <row r="22" spans="2:18" ht="15.75" thickBot="1">
      <c r="B22" s="10" t="s">
        <v>48</v>
      </c>
      <c r="C22" s="14">
        <f>ABS(C17-C18)/C17</f>
        <v>3.0664869436402037E-2</v>
      </c>
      <c r="D22" s="15">
        <f>ABS(D17-D18)/D17</f>
        <v>3.06648854089509E-2</v>
      </c>
      <c r="F22" s="8"/>
      <c r="G22" s="6" t="s">
        <v>49</v>
      </c>
      <c r="H22" s="8">
        <v>0.21650249893157095</v>
      </c>
      <c r="I22" s="9">
        <v>0.21650249893157095</v>
      </c>
      <c r="K22" s="6" t="s">
        <v>47</v>
      </c>
      <c r="L22" s="8">
        <f>0.028735/100</f>
        <v>2.8735000000000002E-4</v>
      </c>
      <c r="M22" s="6" t="s">
        <v>46</v>
      </c>
      <c r="N22" s="23">
        <v>7.1999999999999998E-3</v>
      </c>
      <c r="O22" s="10" t="s">
        <v>46</v>
      </c>
      <c r="P22" s="28">
        <v>8.0383675222347401E-5</v>
      </c>
      <c r="R22" s="21"/>
    </row>
    <row r="23" spans="2:18" ht="19.5" thickTop="1" thickBot="1">
      <c r="E23">
        <f>D18/0.111</f>
        <v>3.3203332094153515</v>
      </c>
      <c r="F23">
        <f>D17/0.111</f>
        <v>3.4253718445103067</v>
      </c>
      <c r="G23" s="6" t="s">
        <v>50</v>
      </c>
      <c r="H23" s="8">
        <f>H19/(H19-H21)</f>
        <v>1.2165492350901064</v>
      </c>
      <c r="I23" s="9">
        <f t="shared" ref="I23" si="0">I19/(I19-I21)</f>
        <v>1.2165492350901064</v>
      </c>
      <c r="K23" s="1" t="s">
        <v>51</v>
      </c>
      <c r="L23" s="25">
        <f>SUM(L9:L22)</f>
        <v>0.99937838000000001</v>
      </c>
      <c r="M23" s="1" t="s">
        <v>51</v>
      </c>
      <c r="N23" s="25">
        <f>SUM(N9:N22)</f>
        <v>0.97795999999999994</v>
      </c>
      <c r="O23" s="1" t="s">
        <v>51</v>
      </c>
      <c r="P23" s="27">
        <f>SUM(P9:P22)</f>
        <v>1.0000000000000004</v>
      </c>
    </row>
    <row r="24" spans="2:18" ht="19.5" thickTop="1" thickBot="1">
      <c r="C24" s="8">
        <f>AVERAGE(C21:D21)</f>
        <v>2.29E-2</v>
      </c>
      <c r="D24" s="29">
        <f>AVERAGE(C22:D22)</f>
        <v>3.066487742267647E-2</v>
      </c>
      <c r="G24" s="16" t="s">
        <v>52</v>
      </c>
      <c r="H24" s="17">
        <f>H20/(H20-H22)</f>
        <v>1.1414324787951493</v>
      </c>
      <c r="I24" s="18">
        <f>I20/(I20-I22)</f>
        <v>1.1414324787951493</v>
      </c>
    </row>
    <row r="25" spans="2:18" ht="15.75" thickTop="1">
      <c r="C25" s="8"/>
      <c r="D25" s="8"/>
    </row>
    <row r="26" spans="2:18">
      <c r="B26">
        <f>C19*2</f>
        <v>1.7924983613945416</v>
      </c>
      <c r="C26" s="8">
        <v>0.36769781168903598</v>
      </c>
      <c r="D26" s="8"/>
      <c r="E26">
        <f>C20*2</f>
        <v>4.1048212475935E-2</v>
      </c>
      <c r="G26">
        <f>C17/0.1</f>
        <v>3.8021627474064399</v>
      </c>
      <c r="H26">
        <f>G26/G27</f>
        <v>34.253718445103061</v>
      </c>
    </row>
    <row r="27" spans="2:18">
      <c r="B27" s="126">
        <f>C20*2</f>
        <v>4.1048212475935E-2</v>
      </c>
      <c r="C27" s="30">
        <f>ABS(C17-C26)/C17</f>
        <v>3.2924584988233918E-2</v>
      </c>
      <c r="D27" s="8"/>
      <c r="E27">
        <f>C19*2</f>
        <v>1.7924983613945416</v>
      </c>
      <c r="G27">
        <v>0.111</v>
      </c>
      <c r="I27">
        <v>0.53</v>
      </c>
    </row>
    <row r="28" spans="2:18">
      <c r="B28">
        <f>B27/B26</f>
        <v>2.29E-2</v>
      </c>
      <c r="E28">
        <f>E26/E27</f>
        <v>2.29E-2</v>
      </c>
    </row>
    <row r="29" spans="2:18">
      <c r="G29">
        <v>0.38021627474064407</v>
      </c>
      <c r="H29">
        <f>G29/G30</f>
        <v>3.4253718445103067</v>
      </c>
    </row>
    <row r="30" spans="2:18">
      <c r="C30">
        <v>0.17273275499999999</v>
      </c>
      <c r="E30">
        <v>1E-4</v>
      </c>
      <c r="G30">
        <v>0.111</v>
      </c>
    </row>
    <row r="31" spans="2:18">
      <c r="C31">
        <f>C30*2</f>
        <v>0.34546550999999998</v>
      </c>
      <c r="F31">
        <v>0.34726689999999999</v>
      </c>
    </row>
    <row r="32" spans="2:18">
      <c r="C32">
        <f>C20*2</f>
        <v>4.1048212475935E-2</v>
      </c>
      <c r="D32">
        <f>C32/C31</f>
        <v>0.11882000167233772</v>
      </c>
      <c r="F32">
        <f>F31/0.111</f>
        <v>3.1285306306306304</v>
      </c>
    </row>
    <row r="36" spans="1:10">
      <c r="C36">
        <v>22959.240789445899</v>
      </c>
    </row>
    <row r="39" spans="1:10" s="57" customFormat="1">
      <c r="A39" s="57" t="s">
        <v>53</v>
      </c>
    </row>
    <row r="40" spans="1:10">
      <c r="A40" t="s">
        <v>54</v>
      </c>
    </row>
    <row r="44" spans="1:10">
      <c r="C44" s="73">
        <v>4.1048212475935E-2</v>
      </c>
    </row>
    <row r="46" spans="1:10" ht="15.75" thickBot="1"/>
    <row r="47" spans="1:10" ht="20.25" thickTop="1" thickBot="1">
      <c r="D47" s="89" t="s">
        <v>55</v>
      </c>
      <c r="E47" s="90" t="s">
        <v>56</v>
      </c>
      <c r="F47" s="90" t="s">
        <v>57</v>
      </c>
      <c r="G47" s="90" t="s">
        <v>58</v>
      </c>
      <c r="H47" s="90" t="s">
        <v>59</v>
      </c>
      <c r="I47" s="90" t="s">
        <v>60</v>
      </c>
      <c r="J47" s="91" t="s">
        <v>61</v>
      </c>
    </row>
    <row r="48" spans="1:10" ht="17.25" thickTop="1" thickBot="1">
      <c r="C48" s="89" t="s">
        <v>62</v>
      </c>
      <c r="D48" s="93">
        <v>2</v>
      </c>
      <c r="E48" s="94">
        <v>1</v>
      </c>
      <c r="F48" s="94" t="s">
        <v>63</v>
      </c>
      <c r="G48" s="99">
        <v>0.38021627474064401</v>
      </c>
      <c r="H48" s="95">
        <v>3.0664869436402037E-2</v>
      </c>
      <c r="I48" s="94">
        <v>2.29E-2</v>
      </c>
      <c r="J48" s="96">
        <v>0</v>
      </c>
    </row>
    <row r="49" spans="3:10" ht="17.25" thickTop="1" thickBot="1">
      <c r="C49" s="92" t="s">
        <v>64</v>
      </c>
      <c r="D49" s="104">
        <v>3</v>
      </c>
      <c r="E49" s="98">
        <v>1</v>
      </c>
      <c r="F49" s="105" t="str">
        <f>"11-29"</f>
        <v>11-29</v>
      </c>
      <c r="G49" s="98">
        <v>0.37857859999999999</v>
      </c>
      <c r="H49" s="97">
        <v>3.0238365235401535E-2</v>
      </c>
      <c r="I49" s="98">
        <v>2.4600000002163596E-2</v>
      </c>
      <c r="J49" s="103">
        <v>0</v>
      </c>
    </row>
    <row r="50" spans="3:10" ht="15.75" thickTop="1"/>
  </sheetData>
  <mergeCells count="9">
    <mergeCell ref="O6:P6"/>
    <mergeCell ref="O7:P7"/>
    <mergeCell ref="A1:G8"/>
    <mergeCell ref="B11:D11"/>
    <mergeCell ref="G11:I11"/>
    <mergeCell ref="K6:L6"/>
    <mergeCell ref="M6:N6"/>
    <mergeCell ref="K7:L7"/>
    <mergeCell ref="M7:N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D9CC4-E3D5-4431-BC22-23FD4AB800D8}">
  <sheetPr codeName="Hoja2"/>
  <dimension ref="A1:P102"/>
  <sheetViews>
    <sheetView tabSelected="1" topLeftCell="A53" zoomScale="90" zoomScaleNormal="90" workbookViewId="0">
      <selection activeCell="N65" sqref="N65"/>
    </sheetView>
  </sheetViews>
  <sheetFormatPr defaultColWidth="11.42578125" defaultRowHeight="15"/>
  <cols>
    <col min="2" max="2" width="16.140625" bestFit="1" customWidth="1"/>
    <col min="3" max="3" width="18.42578125" bestFit="1" customWidth="1"/>
    <col min="4" max="4" width="22.42578125" bestFit="1" customWidth="1"/>
    <col min="5" max="5" width="21.28515625" bestFit="1" customWidth="1"/>
    <col min="6" max="6" width="22.140625" bestFit="1" customWidth="1"/>
    <col min="7" max="7" width="21" bestFit="1" customWidth="1"/>
    <col min="8" max="8" width="21.7109375" bestFit="1" customWidth="1"/>
    <col min="9" max="9" width="19.85546875" bestFit="1" customWidth="1"/>
    <col min="10" max="10" width="20.7109375" bestFit="1" customWidth="1"/>
    <col min="11" max="11" width="19.85546875" bestFit="1" customWidth="1"/>
    <col min="12" max="12" width="13" bestFit="1" customWidth="1"/>
  </cols>
  <sheetData>
    <row r="1" spans="1:8">
      <c r="A1" s="132" t="s">
        <v>65</v>
      </c>
      <c r="B1" s="133"/>
      <c r="C1" s="133"/>
      <c r="D1" s="133"/>
      <c r="E1" s="133"/>
      <c r="F1" s="133"/>
      <c r="G1" s="133"/>
    </row>
    <row r="2" spans="1:8">
      <c r="A2" s="133"/>
      <c r="B2" s="133"/>
      <c r="C2" s="133"/>
      <c r="D2" s="133"/>
      <c r="E2" s="133"/>
      <c r="F2" s="133"/>
      <c r="G2" s="133"/>
    </row>
    <row r="3" spans="1:8">
      <c r="A3" s="133"/>
      <c r="B3" s="133"/>
      <c r="C3" s="133"/>
      <c r="D3" s="133"/>
      <c r="E3" s="133"/>
      <c r="F3" s="133"/>
      <c r="G3" s="133"/>
    </row>
    <row r="4" spans="1:8">
      <c r="A4" s="133"/>
      <c r="B4" s="133"/>
      <c r="C4" s="133"/>
      <c r="D4" s="133"/>
      <c r="E4" s="133"/>
      <c r="F4" s="133"/>
      <c r="G4" s="133"/>
    </row>
    <row r="5" spans="1:8">
      <c r="A5" s="133"/>
      <c r="B5" s="133"/>
      <c r="C5" s="133"/>
      <c r="D5" s="133"/>
      <c r="E5" s="133"/>
      <c r="F5" s="133"/>
      <c r="G5" s="133"/>
    </row>
    <row r="6" spans="1:8">
      <c r="A6" s="133"/>
      <c r="B6" s="133"/>
      <c r="C6" s="133"/>
      <c r="D6" s="133"/>
      <c r="E6" s="133"/>
      <c r="F6" s="133"/>
      <c r="G6" s="133"/>
    </row>
    <row r="7" spans="1:8">
      <c r="A7" s="133"/>
      <c r="B7" s="133"/>
      <c r="C7" s="133"/>
      <c r="D7" s="133"/>
      <c r="E7" s="133"/>
      <c r="F7" s="133"/>
      <c r="G7" s="133"/>
    </row>
    <row r="8" spans="1:8">
      <c r="A8" s="133"/>
      <c r="B8" s="133"/>
      <c r="C8" s="133"/>
      <c r="D8" s="133"/>
      <c r="E8" s="133"/>
      <c r="F8" s="133"/>
      <c r="G8" s="133"/>
    </row>
    <row r="10" spans="1:8" ht="15.75" thickBot="1"/>
    <row r="11" spans="1:8" ht="16.5" thickTop="1" thickBot="1">
      <c r="B11" s="3" t="s">
        <v>66</v>
      </c>
      <c r="C11" s="4" t="s">
        <v>67</v>
      </c>
      <c r="D11" s="3" t="s">
        <v>68</v>
      </c>
      <c r="E11" s="5" t="s">
        <v>69</v>
      </c>
      <c r="F11" s="3" t="s">
        <v>70</v>
      </c>
    </row>
    <row r="12" spans="1:8" ht="15.75" thickTop="1">
      <c r="B12" s="13" t="s">
        <v>71</v>
      </c>
      <c r="C12" s="4">
        <v>1</v>
      </c>
      <c r="D12" s="5">
        <v>0.1</v>
      </c>
      <c r="E12" s="5">
        <f>SQRT(D12*E13)</f>
        <v>0.23021728866442678</v>
      </c>
      <c r="F12" s="7">
        <f>E12/D12</f>
        <v>2.3021728866442679</v>
      </c>
      <c r="G12">
        <f>E12-D12</f>
        <v>0.13021728866442678</v>
      </c>
      <c r="H12" s="8">
        <f>C25/D12</f>
        <v>2.6908294267217396</v>
      </c>
    </row>
    <row r="13" spans="1:8" ht="15.75" thickBot="1">
      <c r="B13" s="13" t="s">
        <v>72</v>
      </c>
      <c r="C13" s="10">
        <v>2</v>
      </c>
      <c r="D13" s="11">
        <f>E12</f>
        <v>0.23021728866442678</v>
      </c>
      <c r="E13" s="11">
        <v>0.53</v>
      </c>
      <c r="F13" s="12">
        <f>E13/D13</f>
        <v>2.3021728866442674</v>
      </c>
      <c r="G13">
        <f>E13-D13</f>
        <v>0.29978271133557322</v>
      </c>
      <c r="H13" s="8">
        <f>D25/C25</f>
        <v>1.975565249585908</v>
      </c>
    </row>
    <row r="14" spans="1:8" ht="16.5" thickTop="1" thickBot="1">
      <c r="B14" s="31" t="s">
        <v>73</v>
      </c>
    </row>
    <row r="15" spans="1:8" ht="15.75" thickTop="1"/>
    <row r="16" spans="1:8" s="57" customFormat="1">
      <c r="B16" s="49" t="s">
        <v>74</v>
      </c>
    </row>
    <row r="17" spans="2:12" ht="15.75" thickBot="1"/>
    <row r="18" spans="2:12" ht="16.5" thickTop="1" thickBot="1">
      <c r="B18" s="134" t="s">
        <v>75</v>
      </c>
      <c r="C18" s="135"/>
      <c r="D18" s="136"/>
      <c r="E18" s="8"/>
      <c r="F18" s="8"/>
      <c r="J18" s="134" t="s">
        <v>11</v>
      </c>
      <c r="K18" s="135"/>
      <c r="L18" s="136"/>
    </row>
    <row r="19" spans="2:12" ht="16.5" thickTop="1" thickBot="1">
      <c r="B19" s="6" t="s">
        <v>13</v>
      </c>
      <c r="C19" s="1" t="s">
        <v>17</v>
      </c>
      <c r="D19" s="1" t="s">
        <v>76</v>
      </c>
      <c r="E19" s="1" t="s">
        <v>77</v>
      </c>
      <c r="F19" s="1" t="s">
        <v>78</v>
      </c>
      <c r="G19" s="1" t="s">
        <v>79</v>
      </c>
      <c r="J19" s="6" t="s">
        <v>16</v>
      </c>
      <c r="K19" s="13" t="s">
        <v>17</v>
      </c>
      <c r="L19" s="9" t="s">
        <v>18</v>
      </c>
    </row>
    <row r="20" spans="2:12" ht="15.75" thickTop="1">
      <c r="B20" s="4" t="s">
        <v>20</v>
      </c>
      <c r="C20" s="5">
        <v>5.5384197787765803</v>
      </c>
      <c r="D20" s="7">
        <v>13.186509524976666</v>
      </c>
      <c r="E20" s="37">
        <v>13.651478582289306</v>
      </c>
      <c r="F20" s="37">
        <v>18.782677696376666</v>
      </c>
      <c r="G20" s="37"/>
      <c r="J20" s="4" t="s">
        <v>21</v>
      </c>
      <c r="K20" s="5">
        <v>18.415576394438901</v>
      </c>
      <c r="L20" s="7">
        <v>18.415576394438901</v>
      </c>
    </row>
    <row r="21" spans="2:12">
      <c r="B21" s="6" t="s">
        <v>23</v>
      </c>
      <c r="C21" s="8">
        <v>15.305922213257496</v>
      </c>
      <c r="D21" s="9">
        <v>25.734254415011502</v>
      </c>
      <c r="E21" s="38">
        <v>26.641669071886952</v>
      </c>
      <c r="F21" s="38">
        <v>36.655508079540454</v>
      </c>
      <c r="G21" s="38"/>
      <c r="J21" s="6" t="s">
        <v>24</v>
      </c>
      <c r="K21" s="8">
        <v>38.4014043303387</v>
      </c>
      <c r="L21" s="9">
        <v>19.732776744518301</v>
      </c>
    </row>
    <row r="22" spans="2:12">
      <c r="B22" s="6" t="s">
        <v>26</v>
      </c>
      <c r="C22" s="8">
        <v>17.850705043581922</v>
      </c>
      <c r="D22" s="9">
        <v>31.969985609614447</v>
      </c>
      <c r="E22" s="38">
        <v>32.620683203332455</v>
      </c>
      <c r="F22" s="38">
        <v>40.3067718321877</v>
      </c>
      <c r="G22" s="38"/>
      <c r="J22" s="6" t="s">
        <v>27</v>
      </c>
      <c r="K22" s="8">
        <v>3.68</v>
      </c>
      <c r="L22" s="9">
        <v>3.68</v>
      </c>
    </row>
    <row r="23" spans="2:12">
      <c r="B23" s="6" t="s">
        <v>29</v>
      </c>
      <c r="C23" s="8">
        <v>10.5356099585811</v>
      </c>
      <c r="D23" s="9">
        <v>20.922749959655082</v>
      </c>
      <c r="E23" s="13">
        <v>20.922749959655082</v>
      </c>
      <c r="F23" s="13">
        <v>20.922749959655082</v>
      </c>
      <c r="G23" s="13">
        <v>20.922749959655082</v>
      </c>
      <c r="J23" s="6" t="s">
        <v>30</v>
      </c>
      <c r="K23" s="8">
        <v>323.14999999999998</v>
      </c>
      <c r="L23" s="9">
        <v>323.14999999999998</v>
      </c>
    </row>
    <row r="24" spans="2:12">
      <c r="B24" s="6" t="s">
        <v>32</v>
      </c>
      <c r="C24" s="43">
        <v>0.25009654424333344</v>
      </c>
      <c r="D24" s="9">
        <v>0.6250990822678727</v>
      </c>
      <c r="E24" s="38">
        <v>0.62509710012013009</v>
      </c>
      <c r="F24" s="38">
        <v>0.62509664549028565</v>
      </c>
      <c r="G24" s="38"/>
      <c r="J24" s="6" t="s">
        <v>33</v>
      </c>
      <c r="K24" s="8">
        <v>0.1</v>
      </c>
      <c r="L24" s="9">
        <f>C25</f>
        <v>0.26908294267217397</v>
      </c>
    </row>
    <row r="25" spans="2:12">
      <c r="B25" s="6" t="s">
        <v>35</v>
      </c>
      <c r="C25" s="8">
        <v>0.26908294267217397</v>
      </c>
      <c r="D25" s="9">
        <v>0.53159091079946397</v>
      </c>
      <c r="E25" s="38">
        <v>0.53949420476139398</v>
      </c>
      <c r="F25" s="38">
        <v>0.60594191807728803</v>
      </c>
      <c r="G25" s="38"/>
      <c r="J25" s="6" t="s">
        <v>36</v>
      </c>
      <c r="K25" s="8">
        <v>313.05</v>
      </c>
      <c r="L25" s="9">
        <v>310.97000000000003</v>
      </c>
    </row>
    <row r="26" spans="2:12">
      <c r="B26" s="6" t="s">
        <v>38</v>
      </c>
      <c r="C26" s="8">
        <v>0.13949640615759418</v>
      </c>
      <c r="D26" s="9">
        <v>0.79077145798537529</v>
      </c>
      <c r="E26" s="38">
        <v>0.84752138254291953</v>
      </c>
      <c r="F26" s="38">
        <v>1.6043765012831375</v>
      </c>
      <c r="G26" s="38"/>
      <c r="J26" s="6" t="s">
        <v>39</v>
      </c>
      <c r="K26" s="8">
        <v>2.5351854169746502</v>
      </c>
      <c r="L26" s="9">
        <v>2.5351854169746502</v>
      </c>
    </row>
    <row r="27" spans="2:12">
      <c r="B27" s="6" t="s">
        <v>41</v>
      </c>
      <c r="C27" s="8">
        <v>2.05241062379675E-2</v>
      </c>
      <c r="D27" s="19">
        <v>0.16002051223796801</v>
      </c>
      <c r="E27" s="39">
        <v>0.16002051223796801</v>
      </c>
      <c r="F27" s="39">
        <v>0.16002051223796801</v>
      </c>
      <c r="G27" s="39">
        <v>0.16002051223796801</v>
      </c>
      <c r="J27" s="6" t="s">
        <v>42</v>
      </c>
      <c r="K27" s="8">
        <v>1.74688974188108</v>
      </c>
      <c r="L27" s="9">
        <v>2.3922553397411299</v>
      </c>
    </row>
    <row r="28" spans="2:12">
      <c r="B28" s="6" t="s">
        <v>44</v>
      </c>
      <c r="C28" s="8">
        <f>C27/C26</f>
        <v>0.14713000000000478</v>
      </c>
      <c r="D28" s="36">
        <f>D27/D26</f>
        <v>0.20236000000006002</v>
      </c>
      <c r="E28" s="40">
        <f>E27/E26</f>
        <v>0.18881000000004647</v>
      </c>
      <c r="F28" s="40">
        <f>F27/F26</f>
        <v>9.9739999999992446E-2</v>
      </c>
      <c r="G28" s="40" t="e">
        <f>G27/G26</f>
        <v>#DIV/0!</v>
      </c>
      <c r="J28" s="6" t="s">
        <v>45</v>
      </c>
      <c r="K28" s="8">
        <v>0.4512702379996899</v>
      </c>
      <c r="L28" s="9">
        <v>0.4512702379996899</v>
      </c>
    </row>
    <row r="29" spans="2:12" ht="15.75" thickBot="1">
      <c r="B29" s="10" t="s">
        <v>48</v>
      </c>
      <c r="C29" s="14">
        <f>ABS(C24-C25)/C24</f>
        <v>7.5916276597438964E-2</v>
      </c>
      <c r="D29" s="15">
        <f>ABS(D24-D25)/D24</f>
        <v>0.14958935970463932</v>
      </c>
      <c r="E29" s="41">
        <f>ABS(E24-E25)/E24</f>
        <v>0.13694335702770832</v>
      </c>
      <c r="F29" s="41">
        <f>ABS(F24-F25)/F24</f>
        <v>3.0642825475369301E-2</v>
      </c>
      <c r="G29" s="41" t="e">
        <f>ABS(G24-G25)/G24</f>
        <v>#DIV/0!</v>
      </c>
      <c r="J29" s="6" t="s">
        <v>49</v>
      </c>
      <c r="K29" s="8">
        <v>0.21650249893157095</v>
      </c>
      <c r="L29" s="9">
        <v>0.42132945138142303</v>
      </c>
    </row>
    <row r="30" spans="2:12" ht="18.75" thickTop="1">
      <c r="F30" s="35"/>
      <c r="J30" s="6" t="s">
        <v>50</v>
      </c>
      <c r="K30" s="8">
        <f>K26/(K26-K28)</f>
        <v>1.2165492350901064</v>
      </c>
      <c r="L30" s="9">
        <f t="shared" ref="L30" si="0">L26/(L26-L28)</f>
        <v>1.2165492350901064</v>
      </c>
    </row>
    <row r="31" spans="2:12" ht="18.75" thickBot="1">
      <c r="B31" s="8" t="s">
        <v>80</v>
      </c>
      <c r="C31" s="33">
        <f>($C$27*2)/($C$26*2+D26*2)</f>
        <v>2.2062576843795204E-2</v>
      </c>
      <c r="D31" s="8"/>
      <c r="E31" s="50">
        <f>($C$27*2)/($C$26*2+E26*2)</f>
        <v>2.0794059107069482E-2</v>
      </c>
      <c r="F31" s="49">
        <f>($C$27*2)/($C$26*2+F26*2)</f>
        <v>1.1769267215744646E-2</v>
      </c>
      <c r="J31" s="16" t="s">
        <v>52</v>
      </c>
      <c r="K31" s="17">
        <f>K27/(K27-K29)</f>
        <v>1.1414690954390776</v>
      </c>
      <c r="L31" s="18">
        <f>L27/(L27-L29)</f>
        <v>1.213772346220523</v>
      </c>
    </row>
    <row r="32" spans="2:12" ht="15.75" thickTop="1">
      <c r="B32" s="8" t="s">
        <v>48</v>
      </c>
      <c r="C32" s="48">
        <f>AVERAGE(C29:D29)</f>
        <v>0.11275281815103914</v>
      </c>
      <c r="E32" s="51">
        <f>AVERAGE(C29,E29)</f>
        <v>0.10642981681257364</v>
      </c>
      <c r="F32" s="34">
        <f>AVERAGE(C29,F29)</f>
        <v>5.3279551036404131E-2</v>
      </c>
    </row>
    <row r="33" spans="2:15" ht="15.75" thickBot="1">
      <c r="C33" s="29"/>
      <c r="E33" s="42"/>
    </row>
    <row r="34" spans="2:15" ht="16.5" thickTop="1" thickBot="1">
      <c r="B34" s="44" t="s">
        <v>81</v>
      </c>
      <c r="C34" s="44" t="s">
        <v>82</v>
      </c>
      <c r="E34" s="44" t="s">
        <v>83</v>
      </c>
      <c r="F34" s="44" t="s">
        <v>84</v>
      </c>
    </row>
    <row r="35" spans="2:15" ht="16.5" thickTop="1" thickBot="1">
      <c r="B35" s="46">
        <f>(C27*2)/B37</f>
        <v>0.87151194216422501</v>
      </c>
      <c r="C35" s="44">
        <f>C26*2+D26*2</f>
        <v>1.8605357282859389</v>
      </c>
      <c r="E35" s="44">
        <f>C26*2+E26*2</f>
        <v>1.9740355774010274</v>
      </c>
      <c r="F35" s="44">
        <f>C26*2+F26*2</f>
        <v>3.4877458148814631</v>
      </c>
    </row>
    <row r="36" spans="2:15" ht="16.5" thickTop="1" thickBot="1">
      <c r="B36" s="44" t="s">
        <v>85</v>
      </c>
      <c r="C36" s="44" t="s">
        <v>86</v>
      </c>
      <c r="E36" s="44" t="s">
        <v>86</v>
      </c>
      <c r="F36" s="44" t="s">
        <v>86</v>
      </c>
      <c r="H36">
        <f>C27*2</f>
        <v>4.1048212475935E-2</v>
      </c>
    </row>
    <row r="37" spans="2:15" ht="16.5" thickTop="1" thickBot="1">
      <c r="B37" s="44">
        <v>4.7100000000000003E-2</v>
      </c>
      <c r="C37" s="47">
        <f>ABS(B37-C31)/B37</f>
        <v>0.5315801094735626</v>
      </c>
      <c r="E37" s="45">
        <f>ABS(B37-E31)/B37</f>
        <v>0.55851254549746321</v>
      </c>
      <c r="F37" s="45">
        <f>ABS(B37-F31)/B37</f>
        <v>0.7501217151646572</v>
      </c>
    </row>
    <row r="38" spans="2:15" ht="15.75" thickTop="1">
      <c r="D38" s="32"/>
    </row>
    <row r="40" spans="2:15">
      <c r="F40" s="32"/>
    </row>
    <row r="41" spans="2:15" s="57" customFormat="1">
      <c r="B41" s="57" t="s">
        <v>87</v>
      </c>
    </row>
    <row r="42" spans="2:15" ht="15.75" thickBot="1"/>
    <row r="43" spans="2:15" ht="16.5" thickTop="1" thickBot="1">
      <c r="B43" s="134" t="s">
        <v>88</v>
      </c>
      <c r="C43" s="135"/>
      <c r="D43" s="136"/>
      <c r="E43" s="8"/>
    </row>
    <row r="44" spans="2:15" ht="16.5" thickTop="1" thickBot="1">
      <c r="B44" s="6" t="s">
        <v>13</v>
      </c>
      <c r="C44" s="1" t="s">
        <v>17</v>
      </c>
      <c r="D44" s="1" t="s">
        <v>76</v>
      </c>
      <c r="E44" s="1" t="s">
        <v>77</v>
      </c>
      <c r="F44" s="1" t="s">
        <v>89</v>
      </c>
      <c r="G44" s="1" t="s">
        <v>90</v>
      </c>
      <c r="H44" s="67" t="s">
        <v>91</v>
      </c>
      <c r="I44" s="1" t="s">
        <v>92</v>
      </c>
      <c r="J44" s="1" t="s">
        <v>93</v>
      </c>
      <c r="M44" s="134" t="s">
        <v>11</v>
      </c>
      <c r="N44" s="135"/>
      <c r="O44" s="136"/>
    </row>
    <row r="45" spans="2:15" ht="16.5" thickTop="1" thickBot="1">
      <c r="B45" s="4" t="s">
        <v>20</v>
      </c>
      <c r="C45" s="5">
        <v>5.5384197787765803</v>
      </c>
      <c r="D45" s="7">
        <v>15.726074551931143</v>
      </c>
      <c r="E45" s="37">
        <v>15.9760200166307</v>
      </c>
      <c r="F45" s="37">
        <v>24.4464452414554</v>
      </c>
      <c r="G45" s="37">
        <v>20.400132540355717</v>
      </c>
      <c r="H45" s="37">
        <v>19.24618758234185</v>
      </c>
      <c r="I45">
        <v>18.241217437858783</v>
      </c>
      <c r="J45">
        <v>17.229423800702435</v>
      </c>
      <c r="M45" s="6" t="s">
        <v>16</v>
      </c>
      <c r="N45" s="13" t="s">
        <v>17</v>
      </c>
      <c r="O45" s="9" t="s">
        <v>18</v>
      </c>
    </row>
    <row r="46" spans="2:15" ht="15.75" thickTop="1">
      <c r="B46" s="6" t="s">
        <v>23</v>
      </c>
      <c r="C46" s="8">
        <v>15.305922213257496</v>
      </c>
      <c r="D46" s="9">
        <v>33.977358492903804</v>
      </c>
      <c r="E46" s="38">
        <v>34.517384335317821</v>
      </c>
      <c r="F46" s="38">
        <v>52.818370605019965</v>
      </c>
      <c r="G46" s="38">
        <v>44.076009835607799</v>
      </c>
      <c r="H46" s="38">
        <v>41.582825577194029</v>
      </c>
      <c r="I46">
        <v>39.411512528854573</v>
      </c>
      <c r="J46">
        <v>37.225456815016017</v>
      </c>
      <c r="M46" s="4" t="s">
        <v>21</v>
      </c>
      <c r="N46" s="5">
        <v>18.415576394438901</v>
      </c>
      <c r="O46" s="7">
        <v>18.415576394438901</v>
      </c>
    </row>
    <row r="47" spans="2:15">
      <c r="B47" s="6" t="s">
        <v>26</v>
      </c>
      <c r="C47" s="8">
        <v>17.850705043581922</v>
      </c>
      <c r="D47" s="9">
        <v>38.636896523403287</v>
      </c>
      <c r="E47" s="38">
        <v>39.058912976822292</v>
      </c>
      <c r="F47" s="38">
        <v>54.244279140668318</v>
      </c>
      <c r="G47" s="38">
        <v>46.81389874414451</v>
      </c>
      <c r="H47" s="38">
        <v>44.746257369351376</v>
      </c>
      <c r="I47">
        <v>43.232937359271844</v>
      </c>
      <c r="J47">
        <v>41.479840870353058</v>
      </c>
      <c r="M47" s="6" t="s">
        <v>24</v>
      </c>
      <c r="N47" s="8">
        <v>38.4014043303387</v>
      </c>
      <c r="O47" s="9">
        <v>19.732776744518301</v>
      </c>
    </row>
    <row r="48" spans="2:15">
      <c r="B48" s="52" t="s">
        <v>29</v>
      </c>
      <c r="C48" s="53">
        <v>10.5356099585811</v>
      </c>
      <c r="D48" s="54">
        <v>20.999209319999999</v>
      </c>
      <c r="E48" s="56">
        <v>20.999209319999999</v>
      </c>
      <c r="F48" s="56">
        <v>20.999209319999999</v>
      </c>
      <c r="G48" s="56">
        <v>20.999209319999999</v>
      </c>
      <c r="H48" s="56">
        <v>20.999209319999999</v>
      </c>
      <c r="I48" s="66"/>
      <c r="J48" s="66"/>
      <c r="M48" s="6" t="s">
        <v>27</v>
      </c>
      <c r="N48" s="8">
        <v>3.68</v>
      </c>
      <c r="O48" s="9">
        <v>3.68</v>
      </c>
    </row>
    <row r="49" spans="1:15">
      <c r="B49" s="6" t="s">
        <v>32</v>
      </c>
      <c r="C49" s="43">
        <v>0.25009654424333344</v>
      </c>
      <c r="D49" s="55">
        <v>0.62509301858145172</v>
      </c>
      <c r="E49" s="38">
        <v>0.62509984495262738</v>
      </c>
      <c r="F49" s="38">
        <v>0.62509919903520106</v>
      </c>
      <c r="G49" s="38">
        <v>0.6250959475880693</v>
      </c>
      <c r="H49" s="38">
        <v>0.62509976086192154</v>
      </c>
      <c r="I49">
        <v>0.62509435018696835</v>
      </c>
      <c r="J49">
        <v>0.62509921955339887</v>
      </c>
      <c r="M49" s="6" t="s">
        <v>30</v>
      </c>
      <c r="N49" s="8">
        <v>323.14999999999998</v>
      </c>
      <c r="O49" s="9">
        <v>323.14999999999998</v>
      </c>
    </row>
    <row r="50" spans="1:15">
      <c r="B50" s="6" t="s">
        <v>35</v>
      </c>
      <c r="C50" s="43">
        <v>0.25012785626994</v>
      </c>
      <c r="D50" s="9">
        <v>0.56920733448071703</v>
      </c>
      <c r="E50" s="38">
        <v>0.57391987137173095</v>
      </c>
      <c r="F50" s="38">
        <v>0.66420273232739702</v>
      </c>
      <c r="G50" s="38">
        <v>0.63344359940377304</v>
      </c>
      <c r="H50" s="38">
        <v>0.621360689548486</v>
      </c>
      <c r="I50" s="64">
        <v>0.60345805807031905</v>
      </c>
      <c r="J50" s="64">
        <v>0.58891461688750202</v>
      </c>
      <c r="M50" s="6" t="s">
        <v>33</v>
      </c>
      <c r="N50" s="8">
        <v>0.1</v>
      </c>
      <c r="O50" s="55">
        <f>C50</f>
        <v>0.25012785626994</v>
      </c>
    </row>
    <row r="51" spans="1:15">
      <c r="B51" s="6" t="s">
        <v>38</v>
      </c>
      <c r="C51" s="8">
        <v>0.13949640615759418</v>
      </c>
      <c r="D51" s="9">
        <v>1.4358054036607033</v>
      </c>
      <c r="E51" s="38">
        <v>1.4818086141122691</v>
      </c>
      <c r="F51" s="38">
        <v>3.469655512531689</v>
      </c>
      <c r="G51" s="38">
        <v>2.4161333570580532</v>
      </c>
      <c r="H51" s="38">
        <v>2.1505242875683797</v>
      </c>
      <c r="I51">
        <v>1.9318017874262745</v>
      </c>
      <c r="J51">
        <v>1.723441039938145</v>
      </c>
      <c r="M51" s="6" t="s">
        <v>36</v>
      </c>
      <c r="N51" s="8">
        <v>313.05</v>
      </c>
      <c r="O51" s="9">
        <v>310.88</v>
      </c>
    </row>
    <row r="52" spans="1:15">
      <c r="B52" s="6" t="s">
        <v>41</v>
      </c>
      <c r="C52" s="8">
        <v>2.05241062379675E-2</v>
      </c>
      <c r="D52" s="19">
        <v>0.16002051223796801</v>
      </c>
      <c r="E52" s="39">
        <v>0.16002051223796801</v>
      </c>
      <c r="F52" s="39">
        <v>0.16002051223796801</v>
      </c>
      <c r="G52" s="39">
        <v>0.16002051223796801</v>
      </c>
      <c r="H52" s="39">
        <v>0.16002051223796801</v>
      </c>
      <c r="I52" s="39">
        <v>0.16002051223796801</v>
      </c>
      <c r="J52" s="39">
        <v>0.16002051223796801</v>
      </c>
      <c r="M52" s="6" t="s">
        <v>39</v>
      </c>
      <c r="N52" s="8">
        <v>2.5351854169746502</v>
      </c>
      <c r="O52" s="9">
        <v>2.5351854169746502</v>
      </c>
    </row>
    <row r="53" spans="1:15">
      <c r="B53" s="6" t="s">
        <v>44</v>
      </c>
      <c r="C53" s="8">
        <f t="shared" ref="C53:J53" si="1">C52/C51</f>
        <v>0.14713000000000478</v>
      </c>
      <c r="D53" s="36">
        <f t="shared" si="1"/>
        <v>0.11144999999998791</v>
      </c>
      <c r="E53" s="40">
        <f t="shared" si="1"/>
        <v>0.10798999999998925</v>
      </c>
      <c r="F53" s="40">
        <f t="shared" si="1"/>
        <v>4.6120000000001875E-2</v>
      </c>
      <c r="G53" s="40">
        <f t="shared" si="1"/>
        <v>6.6230000000005437E-2</v>
      </c>
      <c r="H53" s="40">
        <f t="shared" si="1"/>
        <v>7.4410000000002266E-2</v>
      </c>
      <c r="I53" s="40">
        <f t="shared" si="1"/>
        <v>8.2834850490102391E-2</v>
      </c>
      <c r="J53" s="40">
        <f t="shared" si="1"/>
        <v>9.2849426542442798E-2</v>
      </c>
      <c r="M53" s="6" t="s">
        <v>42</v>
      </c>
      <c r="N53" s="8">
        <v>1.74688974188108</v>
      </c>
      <c r="O53" s="9">
        <v>2.39193938006603</v>
      </c>
    </row>
    <row r="54" spans="1:15" ht="15.75" thickBot="1">
      <c r="B54" s="10" t="s">
        <v>48</v>
      </c>
      <c r="C54" s="14">
        <f t="shared" ref="C54:H54" si="2">ABS(C49-C50)/C49</f>
        <v>1.2519975716294011E-4</v>
      </c>
      <c r="D54" s="61">
        <f t="shared" si="2"/>
        <v>8.9403788619425439E-2</v>
      </c>
      <c r="E54" s="62">
        <f t="shared" si="2"/>
        <v>8.187487806012024E-2</v>
      </c>
      <c r="F54" s="62">
        <f t="shared" si="2"/>
        <v>6.2555724519483713E-2</v>
      </c>
      <c r="G54" s="62">
        <f t="shared" si="2"/>
        <v>1.3354192820979124E-2</v>
      </c>
      <c r="H54" s="62">
        <f t="shared" si="2"/>
        <v>5.9815593406721242E-3</v>
      </c>
      <c r="I54" s="62">
        <f t="shared" ref="I54" si="3">ABS(I49-I50)/I49</f>
        <v>3.4612842221622697E-2</v>
      </c>
      <c r="J54" s="62">
        <f>ABS(J49-J50)/J49</f>
        <v>5.7886174760782581E-2</v>
      </c>
      <c r="M54" s="6" t="s">
        <v>45</v>
      </c>
      <c r="N54" s="8">
        <v>0.4512702379996899</v>
      </c>
      <c r="O54" s="9">
        <v>0.4512702379996899</v>
      </c>
    </row>
    <row r="55" spans="1:15" ht="15.75" thickTop="1">
      <c r="B55" s="6" t="s">
        <v>94</v>
      </c>
      <c r="D55">
        <v>0.83160790231843262</v>
      </c>
      <c r="E55" s="58">
        <f>ABS($D$55-0.83)/$D$55</f>
        <v>1.9334860983764178E-3</v>
      </c>
      <c r="F55" s="58">
        <f>ABS($D$55-0.8)/$D$55</f>
        <v>3.8008179371928977E-2</v>
      </c>
      <c r="G55" s="58">
        <f>ABS($D$55-0.81)/$D$55</f>
        <v>2.598328161407808E-2</v>
      </c>
      <c r="H55" s="65">
        <f>ABS($D$55-0.814)/$D$55</f>
        <v>2.1173322510937856E-2</v>
      </c>
      <c r="I55" s="58">
        <f>ABS($D$55-0.82)/$D$55</f>
        <v>1.3958383856227316E-2</v>
      </c>
      <c r="J55" s="58">
        <f>ABS($D$55-0.825)/$D$55</f>
        <v>7.9459349773018662E-3</v>
      </c>
      <c r="M55" s="6" t="s">
        <v>49</v>
      </c>
      <c r="N55" s="8">
        <v>0.21650249893157095</v>
      </c>
      <c r="O55" s="9">
        <v>0.42132945138142314</v>
      </c>
    </row>
    <row r="56" spans="1:15" ht="18">
      <c r="C56">
        <f>C50/D12</f>
        <v>2.5012785626993996</v>
      </c>
      <c r="D56">
        <f>D50/C50</f>
        <v>2.2756655055102053</v>
      </c>
      <c r="E56">
        <f>E50/C50</f>
        <v>2.2945060175638816</v>
      </c>
      <c r="F56">
        <f>F50/C50</f>
        <v>2.6554528641167581</v>
      </c>
      <c r="G56">
        <f>G50/C50</f>
        <v>2.532479224225852</v>
      </c>
      <c r="H56">
        <f>H50/C50</f>
        <v>2.4841722901823</v>
      </c>
      <c r="I56">
        <f>I50/C50</f>
        <v>2.412598368967998</v>
      </c>
      <c r="J56">
        <f>J50/C50</f>
        <v>2.3544543405511007</v>
      </c>
      <c r="M56" s="6" t="s">
        <v>50</v>
      </c>
      <c r="N56" s="8">
        <f>N52/(N52-N54)</f>
        <v>1.2165492350901064</v>
      </c>
      <c r="O56" s="9">
        <f t="shared" ref="O56" si="4">O52/(O52-O54)</f>
        <v>1.2165492350901064</v>
      </c>
    </row>
    <row r="57" spans="1:15" ht="18.75" thickBot="1">
      <c r="B57" s="8" t="s">
        <v>95</v>
      </c>
      <c r="C57">
        <v>2</v>
      </c>
      <c r="D57" t="s">
        <v>67</v>
      </c>
      <c r="E57">
        <v>2</v>
      </c>
      <c r="M57" s="16" t="s">
        <v>52</v>
      </c>
      <c r="N57" s="17">
        <f>N53/(N53-N55)</f>
        <v>1.1414690954390776</v>
      </c>
      <c r="O57" s="18">
        <f>O53/(O53-O55)</f>
        <v>1.2138066216192582</v>
      </c>
    </row>
    <row r="58" spans="1:15" ht="15.75" thickTop="1">
      <c r="B58" t="s">
        <v>96</v>
      </c>
      <c r="C58">
        <f>C52*2</f>
        <v>4.1048212475935E-2</v>
      </c>
    </row>
    <row r="59" spans="1:15">
      <c r="C59" t="s">
        <v>97</v>
      </c>
      <c r="D59">
        <f>C57*D51+$C$51*C57</f>
        <v>3.1506036196365947</v>
      </c>
      <c r="E59">
        <f>C57*E51+$C$51*C57</f>
        <v>3.2426100405397262</v>
      </c>
      <c r="F59">
        <f t="shared" ref="F59:G59" si="5">2*F51+$C$51*2</f>
        <v>7.2183038373785662</v>
      </c>
      <c r="G59">
        <f t="shared" si="5"/>
        <v>5.1112595264312946</v>
      </c>
      <c r="H59">
        <f>2*H51+$C$51*2</f>
        <v>4.5800413874519474</v>
      </c>
      <c r="I59">
        <f>2*I51+$C$51*2</f>
        <v>4.1425963871677371</v>
      </c>
      <c r="J59">
        <f>2*J51+$C$51*2</f>
        <v>3.7258748921914782</v>
      </c>
    </row>
    <row r="60" spans="1:15">
      <c r="C60" t="s">
        <v>80</v>
      </c>
      <c r="D60">
        <f>$C$58/D59</f>
        <v>1.3028681938945304E-2</v>
      </c>
      <c r="E60">
        <f t="shared" ref="E60:G60" si="6">$C$58/E59</f>
        <v>1.2659003692316515E-2</v>
      </c>
      <c r="F60">
        <f t="shared" si="6"/>
        <v>5.6866839358264342E-3</v>
      </c>
      <c r="G60">
        <f t="shared" si="6"/>
        <v>8.0309388055266797E-3</v>
      </c>
      <c r="H60">
        <f>$C$58/H59</f>
        <v>8.9624108175956237E-3</v>
      </c>
      <c r="I60">
        <f>$C$58/I59</f>
        <v>9.9088128892033736E-3</v>
      </c>
      <c r="J60">
        <f>$C$58/J59</f>
        <v>1.1017066773219361E-2</v>
      </c>
    </row>
    <row r="61" spans="1:15">
      <c r="C61" t="s">
        <v>48</v>
      </c>
      <c r="D61" s="63">
        <f>ABS(0.0415-D60)/0.0415</f>
        <v>0.68605585689288429</v>
      </c>
      <c r="E61" s="63">
        <f t="shared" ref="E61:G61" si="7">ABS(0.0415-E60)/0.0415</f>
        <v>0.69496376645020452</v>
      </c>
      <c r="F61" s="63">
        <f t="shared" si="7"/>
        <v>0.86297147142586905</v>
      </c>
      <c r="G61" s="63">
        <f t="shared" si="7"/>
        <v>0.80648340227646553</v>
      </c>
      <c r="H61" s="63">
        <f>ABS(0.0415-H60)/0.0415</f>
        <v>0.78403829355191257</v>
      </c>
      <c r="I61" s="63">
        <f>ABS(0.0415-I60)/0.0415</f>
        <v>0.76123342435654517</v>
      </c>
      <c r="J61" s="63">
        <f>ABS(0.0415-J60)/0.0415</f>
        <v>0.73452851148869003</v>
      </c>
    </row>
    <row r="64" spans="1:15" s="57" customFormat="1">
      <c r="A64" s="60"/>
      <c r="B64" s="57" t="s">
        <v>98</v>
      </c>
    </row>
    <row r="65" spans="1:16" ht="15.75" thickBot="1">
      <c r="A65" t="s">
        <v>99</v>
      </c>
    </row>
    <row r="66" spans="1:16" ht="16.5" thickTop="1" thickBot="1">
      <c r="B66" s="134" t="s">
        <v>88</v>
      </c>
      <c r="C66" s="135"/>
      <c r="D66" s="136"/>
      <c r="E66" s="8"/>
    </row>
    <row r="67" spans="1:16" ht="16.5" thickTop="1" thickBot="1">
      <c r="B67" s="6" t="s">
        <v>13</v>
      </c>
      <c r="C67" s="1" t="s">
        <v>17</v>
      </c>
      <c r="D67" s="1" t="s">
        <v>76</v>
      </c>
      <c r="E67" s="1" t="s">
        <v>78</v>
      </c>
      <c r="F67" s="1" t="s">
        <v>79</v>
      </c>
      <c r="G67" s="1" t="s">
        <v>100</v>
      </c>
      <c r="H67" s="1" t="s">
        <v>101</v>
      </c>
      <c r="I67" s="1" t="s">
        <v>102</v>
      </c>
      <c r="J67" s="13" t="s">
        <v>103</v>
      </c>
      <c r="K67" s="68" t="s">
        <v>104</v>
      </c>
    </row>
    <row r="68" spans="1:16" ht="16.5" thickTop="1" thickBot="1">
      <c r="B68" s="4" t="s">
        <v>20</v>
      </c>
      <c r="C68" s="5">
        <v>4.9451498889999996</v>
      </c>
      <c r="D68" s="7">
        <v>12.13726512</v>
      </c>
      <c r="E68">
        <v>14.630518929999999</v>
      </c>
      <c r="F68" s="37">
        <v>19.308398879999999</v>
      </c>
      <c r="G68" s="37">
        <v>16.517939179999999</v>
      </c>
      <c r="H68">
        <v>16.9842613</v>
      </c>
      <c r="I68">
        <v>17.489676710000001</v>
      </c>
      <c r="J68">
        <v>16.746638000000001</v>
      </c>
      <c r="K68">
        <v>16.29836113</v>
      </c>
      <c r="N68" s="134" t="s">
        <v>11</v>
      </c>
      <c r="O68" s="135"/>
      <c r="P68" s="136"/>
    </row>
    <row r="69" spans="1:16" ht="16.5" thickTop="1" thickBot="1">
      <c r="B69" s="6" t="s">
        <v>23</v>
      </c>
      <c r="C69" s="8">
        <v>13.6663674</v>
      </c>
      <c r="D69" s="9">
        <v>25.174553549999999</v>
      </c>
      <c r="E69">
        <v>30.34594521</v>
      </c>
      <c r="F69" s="38">
        <v>40.04858728</v>
      </c>
      <c r="G69" s="38">
        <v>34.260744930000001</v>
      </c>
      <c r="H69">
        <v>35.227968699999998</v>
      </c>
      <c r="I69">
        <v>36.276277950000001</v>
      </c>
      <c r="J69">
        <v>34.735101440000001</v>
      </c>
      <c r="K69">
        <v>33.805306299999998</v>
      </c>
      <c r="N69" s="6" t="s">
        <v>16</v>
      </c>
      <c r="O69" s="13" t="s">
        <v>17</v>
      </c>
      <c r="P69" s="9" t="s">
        <v>18</v>
      </c>
    </row>
    <row r="70" spans="1:16" ht="15.75" thickTop="1">
      <c r="B70" s="6" t="s">
        <v>26</v>
      </c>
      <c r="C70" s="8">
        <v>16.628171099999999</v>
      </c>
      <c r="D70" s="9">
        <v>31.385127669999999</v>
      </c>
      <c r="E70">
        <v>35.201235019999999</v>
      </c>
      <c r="F70" s="38">
        <v>42.93711605</v>
      </c>
      <c r="G70" s="38">
        <v>38.248713379999998</v>
      </c>
      <c r="H70">
        <v>39.018536339999997</v>
      </c>
      <c r="I70">
        <v>39.859563270000002</v>
      </c>
      <c r="J70">
        <v>38.625497189999997</v>
      </c>
      <c r="K70">
        <v>37.88837607</v>
      </c>
      <c r="N70" s="4" t="s">
        <v>21</v>
      </c>
      <c r="O70" s="5">
        <v>18.415576394438901</v>
      </c>
      <c r="P70" s="7">
        <v>18.415576394438901</v>
      </c>
    </row>
    <row r="71" spans="1:16">
      <c r="B71" s="6" t="s">
        <v>32</v>
      </c>
      <c r="C71" s="59">
        <v>0.23031713476686999</v>
      </c>
      <c r="D71" s="55">
        <v>0.53009799999999996</v>
      </c>
      <c r="E71">
        <v>0.53009770000000001</v>
      </c>
      <c r="F71" s="38">
        <v>0.53009569999999995</v>
      </c>
      <c r="G71" s="38">
        <v>0.53009459999999997</v>
      </c>
      <c r="H71">
        <v>0.53009539999999999</v>
      </c>
      <c r="I71">
        <v>0.53009490000000004</v>
      </c>
      <c r="J71">
        <v>0.53009583066325106</v>
      </c>
      <c r="K71">
        <v>0.53009720000000005</v>
      </c>
      <c r="N71" s="6" t="s">
        <v>24</v>
      </c>
      <c r="O71" s="8">
        <v>38.4014043303387</v>
      </c>
      <c r="P71" s="9">
        <v>20.040541017042099</v>
      </c>
    </row>
    <row r="72" spans="1:16">
      <c r="B72" s="6" t="s">
        <v>35</v>
      </c>
      <c r="C72" s="59">
        <v>0.22625194454099901</v>
      </c>
      <c r="D72" s="9">
        <v>0.42236146634799199</v>
      </c>
      <c r="E72">
        <v>0.48364619959347999</v>
      </c>
      <c r="F72" s="38">
        <v>0.54707108136526805</v>
      </c>
      <c r="G72" s="38">
        <v>0.51491379741051202</v>
      </c>
      <c r="H72">
        <v>0.52126817849772</v>
      </c>
      <c r="I72">
        <v>0.52765674439607901</v>
      </c>
      <c r="J72">
        <v>0.51808821169002695</v>
      </c>
      <c r="K72">
        <v>0.51175580234455798</v>
      </c>
      <c r="N72" s="6" t="s">
        <v>27</v>
      </c>
      <c r="O72" s="8">
        <v>3.68</v>
      </c>
      <c r="P72" s="9">
        <v>3.68</v>
      </c>
    </row>
    <row r="73" spans="1:16">
      <c r="B73" s="6" t="s">
        <v>38</v>
      </c>
      <c r="C73" s="8">
        <v>0.11121162800000001</v>
      </c>
      <c r="D73" s="9">
        <v>0.66993544699999996</v>
      </c>
      <c r="E73">
        <v>0.973443481</v>
      </c>
      <c r="F73" s="38">
        <v>1.695445383</v>
      </c>
      <c r="G73" s="38">
        <v>1.240803487</v>
      </c>
      <c r="H73">
        <v>1.3118512870000001</v>
      </c>
      <c r="I73">
        <v>1.3910887670000001</v>
      </c>
      <c r="J73">
        <v>1.2754003899999999</v>
      </c>
      <c r="K73">
        <v>1.2080339870000001</v>
      </c>
      <c r="N73" s="6" t="s">
        <v>30</v>
      </c>
      <c r="O73" s="8">
        <v>323.14999999999998</v>
      </c>
      <c r="P73" s="9">
        <v>323.14999999999998</v>
      </c>
    </row>
    <row r="74" spans="1:16">
      <c r="B74" s="6" t="s">
        <v>41</v>
      </c>
      <c r="C74" s="8">
        <v>2.05241062379675E-2</v>
      </c>
      <c r="D74" s="19">
        <v>0.131736106237967</v>
      </c>
      <c r="E74" s="19">
        <v>0.131736106237967</v>
      </c>
      <c r="F74" s="19">
        <v>0.131736106237967</v>
      </c>
      <c r="G74" s="19">
        <v>0.131736106237967</v>
      </c>
      <c r="H74" s="19">
        <v>0.131736106237967</v>
      </c>
      <c r="I74" s="19">
        <v>0.131736106237967</v>
      </c>
      <c r="J74" s="19">
        <v>0.131736106237967</v>
      </c>
      <c r="K74" s="19">
        <v>0.131736106237967</v>
      </c>
      <c r="N74" s="6" t="s">
        <v>33</v>
      </c>
      <c r="O74" s="8">
        <v>0.1</v>
      </c>
      <c r="P74" s="55">
        <f>C72</f>
        <v>0.22625194454099901</v>
      </c>
    </row>
    <row r="75" spans="1:16">
      <c r="B75" s="6" t="s">
        <v>44</v>
      </c>
      <c r="C75" s="8">
        <f>C74/C73</f>
        <v>0.18455000261274387</v>
      </c>
      <c r="D75" s="36">
        <f t="shared" ref="D75:H75" si="8">D74/D73</f>
        <v>0.19663999991027048</v>
      </c>
      <c r="E75" s="36">
        <f t="shared" si="8"/>
        <v>0.13532999995298853</v>
      </c>
      <c r="F75" s="40">
        <f t="shared" si="8"/>
        <v>7.769999998753542E-2</v>
      </c>
      <c r="G75" s="40">
        <f t="shared" si="8"/>
        <v>0.10617000001867903</v>
      </c>
      <c r="H75" s="40">
        <f t="shared" si="8"/>
        <v>0.10041999999803865</v>
      </c>
      <c r="I75" s="40">
        <f t="shared" ref="I75:J75" si="9">I74/I73</f>
        <v>9.4700000002204743E-2</v>
      </c>
      <c r="J75" s="40">
        <f t="shared" si="9"/>
        <v>0.10328999996461269</v>
      </c>
      <c r="K75" s="40">
        <f t="shared" ref="K75" si="10">K74/K73</f>
        <v>0.10904999996326013</v>
      </c>
      <c r="N75" s="6" t="s">
        <v>36</v>
      </c>
      <c r="O75" s="8">
        <v>313.05</v>
      </c>
      <c r="P75" s="9">
        <v>310.85000000000002</v>
      </c>
    </row>
    <row r="76" spans="1:16" ht="15.75" thickBot="1">
      <c r="B76" s="10" t="s">
        <v>48</v>
      </c>
      <c r="C76" s="14">
        <f t="shared" ref="C76:H76" si="11">ABS(C71-C72)/C71</f>
        <v>1.7650402910690182E-2</v>
      </c>
      <c r="D76" s="15">
        <f t="shared" si="11"/>
        <v>0.2032388985659406</v>
      </c>
      <c r="E76" s="15">
        <f t="shared" si="11"/>
        <v>8.7628187042728192E-2</v>
      </c>
      <c r="F76" s="41">
        <f t="shared" si="11"/>
        <v>3.2023239134496104E-2</v>
      </c>
      <c r="G76" s="41">
        <f t="shared" si="11"/>
        <v>2.8637912156599884E-2</v>
      </c>
      <c r="H76" s="41">
        <f t="shared" si="11"/>
        <v>1.6652137525207712E-2</v>
      </c>
      <c r="I76" s="41">
        <f t="shared" ref="I76:J76" si="12">ABS(I71-I72)/I71</f>
        <v>4.599470026821653E-3</v>
      </c>
      <c r="J76" s="41">
        <f t="shared" si="12"/>
        <v>2.2651789126883506E-2</v>
      </c>
      <c r="K76" s="41">
        <f t="shared" ref="K76" si="13">ABS(K71-K72)/K71</f>
        <v>3.4600065149263323E-2</v>
      </c>
      <c r="N76" s="6" t="s">
        <v>39</v>
      </c>
      <c r="O76" s="8">
        <v>2.5351854169746502</v>
      </c>
      <c r="P76" s="9">
        <v>2.5351854169746502</v>
      </c>
    </row>
    <row r="77" spans="1:16" ht="15.75" thickTop="1">
      <c r="B77" s="6" t="s">
        <v>94</v>
      </c>
      <c r="C77">
        <v>0.73958766300000001</v>
      </c>
      <c r="D77">
        <v>0.82025175500000003</v>
      </c>
      <c r="E77" s="35">
        <f>ABS($D$77-0.8)/$D$77</f>
        <v>2.4689682011103994E-2</v>
      </c>
      <c r="F77" s="35">
        <f>ABS($D$77-0.78)/$D$77</f>
        <v>4.9072439960826414E-2</v>
      </c>
      <c r="G77" s="35">
        <f>ABS($D$77-0.79)/$D$77</f>
        <v>3.6881060985965206E-2</v>
      </c>
      <c r="H77" s="35">
        <f>ABS($D$77-0.788)/$D$77</f>
        <v>3.931933678093745E-2</v>
      </c>
      <c r="I77" s="35">
        <f>ABS($D$77-0.786)/$D$77</f>
        <v>4.1757612575909688E-2</v>
      </c>
      <c r="J77" s="35">
        <f>ABS($D$77-0.789)/$D$77</f>
        <v>3.8100198883451328E-2</v>
      </c>
      <c r="K77" s="35">
        <f>ABS($D$77-0.792)/$D$77</f>
        <v>3.4442785190992961E-2</v>
      </c>
      <c r="N77" s="6" t="s">
        <v>42</v>
      </c>
      <c r="O77" s="8">
        <v>1.74688974188108</v>
      </c>
      <c r="P77" s="9">
        <v>2.3711755576361</v>
      </c>
    </row>
    <row r="78" spans="1:16">
      <c r="C78">
        <f>C72/D12</f>
        <v>2.2625194454099899</v>
      </c>
      <c r="D78">
        <f>D72/$C$72</f>
        <v>1.8667749671935132</v>
      </c>
      <c r="E78">
        <f t="shared" ref="E78:G78" si="14">E72/$C$72</f>
        <v>2.1376443883152514</v>
      </c>
      <c r="F78">
        <f t="shared" si="14"/>
        <v>2.4179729481446892</v>
      </c>
      <c r="G78">
        <f t="shared" si="14"/>
        <v>2.2758425279178307</v>
      </c>
      <c r="H78">
        <f>H72/$C$72</f>
        <v>2.3039279487971926</v>
      </c>
      <c r="I78">
        <f>I72/$C$72</f>
        <v>2.3321644614659327</v>
      </c>
      <c r="J78">
        <f>J72/$C$72</f>
        <v>2.2898729676824696</v>
      </c>
      <c r="K78">
        <f>K72/$C$72</f>
        <v>2.2618846586391346</v>
      </c>
      <c r="N78" s="6" t="s">
        <v>45</v>
      </c>
      <c r="O78" s="8">
        <v>0.4512702379996899</v>
      </c>
      <c r="P78" s="9">
        <v>0.4512702379996899</v>
      </c>
    </row>
    <row r="79" spans="1:16">
      <c r="B79" s="35">
        <f>AVERAGE(C76,K76)</f>
        <v>2.6125234029976754E-2</v>
      </c>
      <c r="F79" t="s">
        <v>97</v>
      </c>
      <c r="G79" t="s">
        <v>105</v>
      </c>
      <c r="N79" s="6" t="s">
        <v>49</v>
      </c>
      <c r="O79" s="8">
        <v>0.21650249893157095</v>
      </c>
      <c r="P79" s="9">
        <v>0.41485906</v>
      </c>
    </row>
    <row r="80" spans="1:16" ht="18">
      <c r="C80">
        <f>C74*2</f>
        <v>4.1048212475935E-2</v>
      </c>
      <c r="D80">
        <f>$C$80/($C$73*2+D73*2)</f>
        <v>2.6274317468278942E-2</v>
      </c>
      <c r="E80">
        <f t="shared" ref="E80:J80" si="15">$C$80/($C$73*2+E73*2)</f>
        <v>1.8922241796186939E-2</v>
      </c>
      <c r="F80">
        <f t="shared" si="15"/>
        <v>1.136026711932844E-2</v>
      </c>
      <c r="G80">
        <f t="shared" si="15"/>
        <v>1.5180382238528082E-2</v>
      </c>
      <c r="H80">
        <f t="shared" si="15"/>
        <v>1.4422486891921781E-2</v>
      </c>
      <c r="I80">
        <f t="shared" si="15"/>
        <v>1.3661785822779804E-2</v>
      </c>
      <c r="J80">
        <f t="shared" si="15"/>
        <v>1.4801621485706394E-2</v>
      </c>
      <c r="K80">
        <f>$C$80/($C$73*2+K73*2)</f>
        <v>1.5557456477099982E-2</v>
      </c>
      <c r="N80" s="6" t="s">
        <v>50</v>
      </c>
      <c r="O80" s="8">
        <f>O76/(O76-O78)</f>
        <v>1.2165492350901064</v>
      </c>
      <c r="P80" s="9">
        <f t="shared" ref="P80" si="16">P76/(P76-P78)</f>
        <v>1.2165492350901064</v>
      </c>
    </row>
    <row r="81" spans="2:16" ht="18.75" thickBot="1">
      <c r="C81">
        <v>4.7100000000000003E-2</v>
      </c>
      <c r="D81" s="35">
        <f>ABS($C$81-D80)/$C$81</f>
        <v>0.4421588647923792</v>
      </c>
      <c r="E81" s="35">
        <f t="shared" ref="E81:K81" si="17">ABS($C$81-E80)/$C$81</f>
        <v>0.59825388967755977</v>
      </c>
      <c r="F81" s="69">
        <f t="shared" si="17"/>
        <v>0.75880536901638129</v>
      </c>
      <c r="G81" s="69">
        <f t="shared" si="17"/>
        <v>0.67769889090173929</v>
      </c>
      <c r="H81" s="69">
        <f t="shared" si="17"/>
        <v>0.6937900872203443</v>
      </c>
      <c r="I81" s="69">
        <f t="shared" si="17"/>
        <v>0.70994085301953702</v>
      </c>
      <c r="J81" s="69">
        <f t="shared" si="17"/>
        <v>0.68574052047332501</v>
      </c>
      <c r="K81" s="35">
        <f t="shared" si="17"/>
        <v>0.66969306842675203</v>
      </c>
      <c r="L81" s="70"/>
      <c r="N81" s="16" t="s">
        <v>52</v>
      </c>
      <c r="O81" s="17">
        <f>O77/(O77-O79)</f>
        <v>1.1414690954390776</v>
      </c>
      <c r="P81" s="18">
        <f>P77/(P77-P79)</f>
        <v>1.2120613205998578</v>
      </c>
    </row>
    <row r="82" spans="2:16" ht="15.75" thickTop="1">
      <c r="B82">
        <f>C73*2+K73*2</f>
        <v>2.6384912300000001</v>
      </c>
      <c r="C82">
        <f>C80/B82</f>
        <v>1.5557456477099982E-2</v>
      </c>
    </row>
    <row r="83" spans="2:16" s="57" customFormat="1">
      <c r="B83" s="57" t="s">
        <v>106</v>
      </c>
    </row>
    <row r="85" spans="2:16" ht="15.75" thickBot="1"/>
    <row r="86" spans="2:16" ht="16.5" thickTop="1" thickBot="1">
      <c r="B86" s="134" t="s">
        <v>88</v>
      </c>
      <c r="C86" s="135"/>
      <c r="D86" s="136"/>
      <c r="E86" s="8"/>
      <c r="H86">
        <v>0.53</v>
      </c>
    </row>
    <row r="87" spans="2:16" ht="16.5" thickTop="1" thickBot="1">
      <c r="B87" s="6" t="s">
        <v>13</v>
      </c>
      <c r="C87" s="1" t="s">
        <v>17</v>
      </c>
      <c r="D87" s="1" t="s">
        <v>76</v>
      </c>
      <c r="E87" s="1" t="s">
        <v>107</v>
      </c>
    </row>
    <row r="88" spans="2:16" ht="15.75" thickTop="1">
      <c r="B88" s="4" t="s">
        <v>20</v>
      </c>
      <c r="C88" s="5">
        <v>6.4010260509999997</v>
      </c>
      <c r="D88" s="7">
        <v>37.219036369999998</v>
      </c>
      <c r="E88">
        <v>52.54579519</v>
      </c>
    </row>
    <row r="89" spans="2:16">
      <c r="B89" s="6" t="s">
        <v>23</v>
      </c>
      <c r="C89" s="8">
        <v>18.80542866</v>
      </c>
      <c r="D89" s="9">
        <v>73.600807680000003</v>
      </c>
      <c r="E89">
        <v>103.90954050000001</v>
      </c>
    </row>
    <row r="90" spans="2:16">
      <c r="B90" s="6" t="s">
        <v>26</v>
      </c>
      <c r="C90" s="8">
        <v>20.351788410000001</v>
      </c>
      <c r="D90" s="9">
        <v>73.509788929999999</v>
      </c>
      <c r="E90">
        <v>100.8336219</v>
      </c>
    </row>
    <row r="91" spans="2:16">
      <c r="B91" s="6" t="s">
        <v>32</v>
      </c>
      <c r="C91" s="59">
        <v>0.30009649999999999</v>
      </c>
      <c r="D91" s="55">
        <v>0.89991719999999997</v>
      </c>
      <c r="E91">
        <v>0.89990369999999997</v>
      </c>
    </row>
    <row r="92" spans="2:16">
      <c r="B92" s="6" t="s">
        <v>35</v>
      </c>
      <c r="C92" s="59">
        <v>0.31627837822271299</v>
      </c>
      <c r="D92" s="9">
        <v>0.82218362728573302</v>
      </c>
      <c r="E92">
        <v>0.85145270430744402</v>
      </c>
    </row>
    <row r="93" spans="2:16">
      <c r="B93" s="6" t="s">
        <v>38</v>
      </c>
      <c r="C93" s="8">
        <v>0.237877909</v>
      </c>
      <c r="D93" s="9">
        <v>8.0423907949999993</v>
      </c>
      <c r="E93">
        <v>16.029901750000001</v>
      </c>
      <c r="G93" t="s">
        <v>108</v>
      </c>
    </row>
    <row r="94" spans="2:16">
      <c r="B94" s="6" t="s">
        <v>41</v>
      </c>
      <c r="C94" s="8">
        <v>2.05241062379675E-2</v>
      </c>
      <c r="D94" s="19">
        <v>0.25840201623796799</v>
      </c>
      <c r="E94" s="19">
        <v>0.25840201623796799</v>
      </c>
    </row>
    <row r="95" spans="2:16">
      <c r="B95" s="6" t="s">
        <v>44</v>
      </c>
      <c r="C95" s="8">
        <f t="shared" ref="C95:E95" si="18">C94/C93</f>
        <v>8.6280001048636673E-2</v>
      </c>
      <c r="D95" s="36">
        <f t="shared" si="18"/>
        <v>3.2129999999330798E-2</v>
      </c>
      <c r="E95" s="36">
        <f t="shared" si="18"/>
        <v>1.6120000001744739E-2</v>
      </c>
      <c r="G95" t="s">
        <v>109</v>
      </c>
    </row>
    <row r="96" spans="2:16" ht="15.75" thickBot="1">
      <c r="B96" s="10" t="s">
        <v>48</v>
      </c>
      <c r="C96" s="14">
        <f t="shared" ref="C96:E96" si="19">ABS(C91-C92)/C91</f>
        <v>5.3922249085587466E-2</v>
      </c>
      <c r="D96" s="15">
        <f t="shared" si="19"/>
        <v>8.6378583178837953E-2</v>
      </c>
      <c r="E96" s="15">
        <f t="shared" si="19"/>
        <v>5.384020055985541E-2</v>
      </c>
    </row>
    <row r="97" spans="3:4" ht="15.75" thickTop="1">
      <c r="C97" s="8">
        <v>0.76049776599999996</v>
      </c>
      <c r="D97">
        <v>0.86889102500000004</v>
      </c>
    </row>
    <row r="101" spans="3:4">
      <c r="C101">
        <f>C94*2</f>
        <v>4.1048212475935E-2</v>
      </c>
    </row>
    <row r="102" spans="3:4">
      <c r="C102">
        <f>C93*2+D93*2</f>
        <v>16.560537407999998</v>
      </c>
      <c r="D102">
        <f>C101/C102</f>
        <v>2.4786763535889597E-3</v>
      </c>
    </row>
  </sheetData>
  <mergeCells count="8">
    <mergeCell ref="B86:D86"/>
    <mergeCell ref="M44:O44"/>
    <mergeCell ref="B66:D66"/>
    <mergeCell ref="N68:P68"/>
    <mergeCell ref="A1:G8"/>
    <mergeCell ref="B18:D18"/>
    <mergeCell ref="J18:L18"/>
    <mergeCell ref="B43:D43"/>
  </mergeCells>
  <phoneticPr fontId="6" type="noConversion"/>
  <pageMargins left="0.7" right="0.7" top="0.75" bottom="0.75" header="0.3" footer="0.3"/>
  <pageSetup orientation="portrait" horizontalDpi="4294967292"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EE40F-7ECB-494D-95CA-83A443C07783}">
  <sheetPr codeName="Hoja3"/>
  <dimension ref="A1:Q43"/>
  <sheetViews>
    <sheetView topLeftCell="H16" zoomScale="90" zoomScaleNormal="90" workbookViewId="0">
      <selection activeCell="M24" sqref="M24"/>
    </sheetView>
  </sheetViews>
  <sheetFormatPr defaultColWidth="11.42578125" defaultRowHeight="15"/>
  <cols>
    <col min="3" max="3" width="13.28515625" bestFit="1" customWidth="1"/>
    <col min="4" max="5" width="19.28515625" bestFit="1" customWidth="1"/>
    <col min="6" max="6" width="18.85546875" bestFit="1" customWidth="1"/>
    <col min="7" max="7" width="19.28515625" bestFit="1" customWidth="1"/>
    <col min="8" max="8" width="19.85546875" bestFit="1" customWidth="1"/>
    <col min="9" max="9" width="15.42578125" bestFit="1" customWidth="1"/>
    <col min="10" max="12" width="18.85546875" bestFit="1" customWidth="1"/>
    <col min="13" max="13" width="19.28515625" bestFit="1" customWidth="1"/>
  </cols>
  <sheetData>
    <row r="1" spans="1:13">
      <c r="A1" s="132" t="s">
        <v>110</v>
      </c>
      <c r="B1" s="133"/>
      <c r="C1" s="133"/>
      <c r="D1" s="133"/>
      <c r="E1" s="133"/>
      <c r="F1" s="133"/>
      <c r="G1" s="133"/>
    </row>
    <row r="2" spans="1:13">
      <c r="A2" s="133"/>
      <c r="B2" s="133"/>
      <c r="C2" s="133"/>
      <c r="D2" s="133"/>
      <c r="E2" s="133"/>
      <c r="F2" s="133"/>
      <c r="G2" s="133"/>
    </row>
    <row r="3" spans="1:13">
      <c r="A3" s="133"/>
      <c r="B3" s="133"/>
      <c r="C3" s="133"/>
      <c r="D3" s="133"/>
      <c r="E3" s="133"/>
      <c r="F3" s="133"/>
      <c r="G3" s="133"/>
    </row>
    <row r="4" spans="1:13">
      <c r="A4" s="133"/>
      <c r="B4" s="133"/>
      <c r="C4" s="133"/>
      <c r="D4" s="133"/>
      <c r="E4" s="133"/>
      <c r="F4" s="133"/>
      <c r="G4" s="133"/>
    </row>
    <row r="5" spans="1:13">
      <c r="A5" s="133"/>
      <c r="B5" s="133"/>
      <c r="C5" s="133"/>
      <c r="D5" s="133"/>
      <c r="E5" s="133"/>
      <c r="F5" s="133"/>
      <c r="G5" s="133"/>
    </row>
    <row r="6" spans="1:13">
      <c r="A6" s="133"/>
      <c r="B6" s="133"/>
      <c r="C6" s="133"/>
      <c r="D6" s="133"/>
      <c r="E6" s="133"/>
      <c r="F6" s="133"/>
      <c r="G6" s="133"/>
    </row>
    <row r="7" spans="1:13">
      <c r="A7" s="133"/>
      <c r="B7" s="133"/>
      <c r="C7" s="133"/>
      <c r="D7" s="133"/>
      <c r="E7" s="133"/>
      <c r="F7" s="133"/>
      <c r="G7" s="133"/>
    </row>
    <row r="8" spans="1:13">
      <c r="A8" s="133"/>
      <c r="B8" s="133"/>
      <c r="C8" s="133"/>
      <c r="D8" s="133"/>
      <c r="E8" s="133"/>
      <c r="F8" s="133"/>
      <c r="G8" s="133"/>
    </row>
    <row r="10" spans="1:13" ht="15.75" thickBot="1"/>
    <row r="11" spans="1:13" ht="17.25" thickTop="1" thickBot="1">
      <c r="B11" s="134" t="s">
        <v>111</v>
      </c>
      <c r="C11" s="135"/>
      <c r="D11" s="135"/>
      <c r="E11" s="135"/>
      <c r="F11" s="136"/>
      <c r="H11" s="1" t="s">
        <v>112</v>
      </c>
      <c r="I11" s="2">
        <f>'Caso 1'!I17/'Caso 1'!H17</f>
        <v>1</v>
      </c>
    </row>
    <row r="12" spans="1:13" ht="17.25" thickTop="1" thickBot="1">
      <c r="B12" s="3" t="s">
        <v>113</v>
      </c>
      <c r="C12" s="4" t="s">
        <v>67</v>
      </c>
      <c r="D12" s="3" t="s">
        <v>68</v>
      </c>
      <c r="E12" s="5" t="s">
        <v>69</v>
      </c>
      <c r="F12" s="3" t="s">
        <v>70</v>
      </c>
      <c r="H12" s="1" t="s">
        <v>114</v>
      </c>
      <c r="I12" s="2" t="e">
        <f>#REF!/'Caso 1'!I17</f>
        <v>#REF!</v>
      </c>
    </row>
    <row r="13" spans="1:13" ht="17.25" thickTop="1" thickBot="1">
      <c r="B13" s="6" t="s">
        <v>71</v>
      </c>
      <c r="C13" s="4">
        <v>1</v>
      </c>
      <c r="D13" s="5">
        <v>0.1</v>
      </c>
      <c r="E13" s="5">
        <f>(E15*D13*D13)^(1/3)</f>
        <v>0.1743513401265129</v>
      </c>
      <c r="F13" s="7">
        <f>E13/D13</f>
        <v>1.743513401265129</v>
      </c>
      <c r="H13" s="1" t="s">
        <v>115</v>
      </c>
      <c r="I13" s="2" t="e">
        <f>0.4128/#REF!</f>
        <v>#REF!</v>
      </c>
      <c r="L13">
        <v>21038.7411072</v>
      </c>
    </row>
    <row r="14" spans="1:13" ht="15.75" thickTop="1">
      <c r="B14" s="6" t="s">
        <v>72</v>
      </c>
      <c r="C14" s="6">
        <v>2</v>
      </c>
      <c r="D14" s="8">
        <f>E13</f>
        <v>0.1743513401265129</v>
      </c>
      <c r="E14" s="8">
        <f>E13^2/D13</f>
        <v>0.30398389803910986</v>
      </c>
      <c r="F14" s="9">
        <f>E14/D14</f>
        <v>1.7435134012651288</v>
      </c>
    </row>
    <row r="15" spans="1:13" ht="15.75" thickBot="1">
      <c r="B15" s="10" t="s">
        <v>116</v>
      </c>
      <c r="C15" s="10">
        <v>3</v>
      </c>
      <c r="D15" s="11">
        <f>E14</f>
        <v>0.30398389803910986</v>
      </c>
      <c r="E15" s="11">
        <v>0.53</v>
      </c>
      <c r="F15" s="12">
        <f>E15/D15</f>
        <v>1.743513401265127</v>
      </c>
      <c r="I15" t="s">
        <v>117</v>
      </c>
      <c r="J15">
        <v>5.8440947520000002</v>
      </c>
      <c r="L15" t="s">
        <v>85</v>
      </c>
      <c r="M15">
        <v>4.9399999999999999E-2</v>
      </c>
    </row>
    <row r="16" spans="1:13" ht="15.75" thickTop="1">
      <c r="I16" t="s">
        <v>96</v>
      </c>
      <c r="J16">
        <f>C26*F17</f>
        <v>4.1048212475935E-2</v>
      </c>
      <c r="L16" t="s">
        <v>48</v>
      </c>
      <c r="M16" s="72">
        <f>ABS(M15-J17)/M15</f>
        <v>0.85781622124846812</v>
      </c>
    </row>
    <row r="17" spans="2:17" ht="15.75" thickBot="1">
      <c r="E17" t="s">
        <v>118</v>
      </c>
      <c r="F17">
        <v>2</v>
      </c>
      <c r="I17" s="57" t="s">
        <v>119</v>
      </c>
      <c r="J17" s="57">
        <f>J16/J15</f>
        <v>7.0238786703256725E-3</v>
      </c>
    </row>
    <row r="18" spans="2:17" ht="16.5" thickTop="1" thickBot="1">
      <c r="B18" s="134" t="s">
        <v>88</v>
      </c>
      <c r="C18" s="135"/>
      <c r="D18" s="136"/>
    </row>
    <row r="19" spans="2:17" ht="16.5" thickTop="1" thickBot="1">
      <c r="B19" s="6" t="s">
        <v>13</v>
      </c>
      <c r="C19" s="1" t="s">
        <v>17</v>
      </c>
      <c r="D19" s="67" t="s">
        <v>120</v>
      </c>
      <c r="E19" s="1" t="s">
        <v>76</v>
      </c>
      <c r="F19" s="1" t="s">
        <v>121</v>
      </c>
      <c r="G19" s="1" t="s">
        <v>122</v>
      </c>
      <c r="H19" s="67" t="s">
        <v>123</v>
      </c>
      <c r="I19" s="13" t="s">
        <v>124</v>
      </c>
      <c r="J19" s="13" t="s">
        <v>125</v>
      </c>
      <c r="K19" s="13" t="s">
        <v>126</v>
      </c>
      <c r="L19" s="68" t="s">
        <v>127</v>
      </c>
      <c r="N19" s="134" t="s">
        <v>11</v>
      </c>
      <c r="O19" s="135"/>
      <c r="P19" s="136"/>
    </row>
    <row r="20" spans="2:17" ht="16.5" thickTop="1" thickBot="1">
      <c r="B20" s="4" t="s">
        <v>20</v>
      </c>
      <c r="C20" s="5">
        <v>3.7346711140000002</v>
      </c>
      <c r="D20">
        <v>4.0577190070000002</v>
      </c>
      <c r="E20" s="7">
        <v>7.6217016519999996</v>
      </c>
      <c r="F20" s="8">
        <v>8.833504499</v>
      </c>
      <c r="G20" s="8">
        <v>8.2782087359999998</v>
      </c>
      <c r="H20" s="8">
        <v>8.7737141689999998</v>
      </c>
      <c r="I20" s="8">
        <v>16.863459729999999</v>
      </c>
      <c r="J20" s="8">
        <v>18.777727129999999</v>
      </c>
      <c r="K20" s="8">
        <v>21.325793529999999</v>
      </c>
      <c r="L20" s="8">
        <v>22.973822599999998</v>
      </c>
      <c r="N20" s="6" t="s">
        <v>16</v>
      </c>
      <c r="O20" s="13" t="s">
        <v>17</v>
      </c>
      <c r="P20" s="9" t="s">
        <v>18</v>
      </c>
      <c r="Q20" s="13" t="s">
        <v>128</v>
      </c>
    </row>
    <row r="21" spans="2:17" ht="15.75" thickTop="1">
      <c r="B21" s="6" t="s">
        <v>23</v>
      </c>
      <c r="C21" s="8">
        <v>10.321100210000001</v>
      </c>
      <c r="D21">
        <v>11.213872179999999</v>
      </c>
      <c r="E21" s="9">
        <v>17.336026230000002</v>
      </c>
      <c r="F21" s="8">
        <v>21.912725080000001</v>
      </c>
      <c r="G21" s="8">
        <v>20.535237429999999</v>
      </c>
      <c r="H21" s="8">
        <v>21.76440693</v>
      </c>
      <c r="I21" s="8">
        <v>31.62148011</v>
      </c>
      <c r="J21" s="8">
        <v>35.211014489999997</v>
      </c>
      <c r="K21" s="8">
        <v>39.989015690000002</v>
      </c>
      <c r="L21" s="8">
        <v>43.079313849999998</v>
      </c>
      <c r="N21" s="4" t="s">
        <v>21</v>
      </c>
      <c r="O21" s="5">
        <v>18.415576394438901</v>
      </c>
      <c r="P21" s="7">
        <v>18.415576394438901</v>
      </c>
      <c r="Q21" s="7">
        <v>18.415576394438901</v>
      </c>
    </row>
    <row r="22" spans="2:17">
      <c r="B22" s="6" t="s">
        <v>26</v>
      </c>
      <c r="C22" s="8">
        <v>14.32792517</v>
      </c>
      <c r="D22">
        <v>14.911400860000001</v>
      </c>
      <c r="E22" s="9">
        <v>25.651769550000001</v>
      </c>
      <c r="F22" s="8">
        <v>28.601385530000002</v>
      </c>
      <c r="G22" s="8">
        <v>27.679070110000001</v>
      </c>
      <c r="H22" s="8">
        <v>28.500671690000001</v>
      </c>
      <c r="I22" s="8">
        <v>47.230119420000001</v>
      </c>
      <c r="J22" s="8">
        <v>49.423809630000001</v>
      </c>
      <c r="K22">
        <v>52.538352089999997</v>
      </c>
      <c r="L22" s="8">
        <v>54.654944589999999</v>
      </c>
      <c r="N22" s="6" t="s">
        <v>24</v>
      </c>
      <c r="O22" s="8">
        <v>38.4014043303387</v>
      </c>
      <c r="P22" s="9">
        <v>20.737433937006799</v>
      </c>
      <c r="Q22">
        <v>18.785586094825199</v>
      </c>
    </row>
    <row r="23" spans="2:17">
      <c r="B23" s="6" t="s">
        <v>32</v>
      </c>
      <c r="C23" s="43">
        <v>0.1744482</v>
      </c>
      <c r="D23">
        <v>0.17445040000000001</v>
      </c>
      <c r="E23" s="23">
        <v>0.30408190000000002</v>
      </c>
      <c r="F23" s="8">
        <v>0.3040814</v>
      </c>
      <c r="G23" s="8">
        <v>0.30408289999999999</v>
      </c>
      <c r="H23" s="8">
        <v>0.30408200000000002</v>
      </c>
      <c r="I23" s="8">
        <v>0.53009720000000005</v>
      </c>
      <c r="J23" s="8">
        <v>0.53009680000000003</v>
      </c>
      <c r="K23" s="8">
        <v>0.53009629999999996</v>
      </c>
      <c r="L23" s="8">
        <v>0.53009609999999996</v>
      </c>
      <c r="N23" s="6" t="s">
        <v>27</v>
      </c>
      <c r="O23" s="8">
        <v>3.68</v>
      </c>
      <c r="P23" s="9">
        <v>3.68</v>
      </c>
      <c r="Q23" s="9">
        <v>3.68</v>
      </c>
    </row>
    <row r="24" spans="2:17">
      <c r="B24" s="6" t="s">
        <v>35</v>
      </c>
      <c r="C24" s="43" t="s">
        <v>129</v>
      </c>
      <c r="D24">
        <v>0.17456206671590899</v>
      </c>
      <c r="E24" s="9" t="s">
        <v>129</v>
      </c>
      <c r="F24">
        <v>0.305182350937793</v>
      </c>
      <c r="G24" s="8">
        <v>0.276682127163631</v>
      </c>
      <c r="H24" s="8">
        <v>0.302292684016913</v>
      </c>
      <c r="I24" s="8">
        <v>0.35076987004827997</v>
      </c>
      <c r="J24">
        <v>0.416778511835523</v>
      </c>
      <c r="K24" s="8">
        <v>0.48586381392251898</v>
      </c>
      <c r="L24" s="8">
        <v>0.52130562327423002</v>
      </c>
      <c r="N24" s="6" t="s">
        <v>30</v>
      </c>
      <c r="O24" s="8">
        <v>323.14999999999998</v>
      </c>
      <c r="P24" s="9">
        <v>323.14999999999998</v>
      </c>
      <c r="Q24" s="9">
        <v>323.14999999999998</v>
      </c>
    </row>
    <row r="25" spans="2:17">
      <c r="B25" s="6" t="s">
        <v>38</v>
      </c>
      <c r="C25" s="8">
        <v>6.3430188999999998E-2</v>
      </c>
      <c r="D25">
        <v>7.4878168999999994E-2</v>
      </c>
      <c r="E25" s="9">
        <v>0.2641771</v>
      </c>
      <c r="F25" s="8">
        <v>0.45302377199999999</v>
      </c>
      <c r="G25" s="8">
        <v>0.39785760999999997</v>
      </c>
      <c r="H25" s="8">
        <v>0.44691186700000002</v>
      </c>
      <c r="I25" s="8">
        <v>1.293256411</v>
      </c>
      <c r="J25" s="8">
        <v>1.603530879</v>
      </c>
      <c r="K25">
        <v>2.0682435579999998</v>
      </c>
      <c r="L25" s="8">
        <v>2.4002573389999999</v>
      </c>
      <c r="N25" s="6" t="s">
        <v>33</v>
      </c>
      <c r="O25" s="8">
        <v>0.1</v>
      </c>
      <c r="P25" s="55">
        <f>D24</f>
        <v>0.17456206671590899</v>
      </c>
      <c r="Q25">
        <f>H24</f>
        <v>0.302292684016913</v>
      </c>
    </row>
    <row r="26" spans="2:17">
      <c r="B26" s="6" t="s">
        <v>41</v>
      </c>
      <c r="C26" s="8">
        <v>2.05241062379675E-2</v>
      </c>
      <c r="D26" s="8">
        <v>2.05241062379675E-2</v>
      </c>
      <c r="E26" s="19">
        <v>9.5402276237967501E-2</v>
      </c>
      <c r="F26" s="19">
        <v>9.5402276237967501E-2</v>
      </c>
      <c r="G26" s="19">
        <v>9.5402276237967501E-2</v>
      </c>
      <c r="H26" s="36">
        <v>9.5402276237967501E-2</v>
      </c>
      <c r="I26" s="71">
        <v>0.54231414323796701</v>
      </c>
      <c r="J26" s="71">
        <v>0.54231414323796701</v>
      </c>
      <c r="K26" s="71">
        <v>0.54231414323796701</v>
      </c>
      <c r="L26" s="77">
        <v>0.54231414323796701</v>
      </c>
      <c r="N26" s="6" t="s">
        <v>36</v>
      </c>
      <c r="O26" s="8">
        <v>313.05</v>
      </c>
      <c r="P26" s="9">
        <v>310.77</v>
      </c>
      <c r="Q26" s="8">
        <v>310.87</v>
      </c>
    </row>
    <row r="27" spans="2:17">
      <c r="B27" s="6" t="s">
        <v>44</v>
      </c>
      <c r="C27" s="8">
        <f t="shared" ref="C27" si="0">C26/C25</f>
        <v>0.32356999973573308</v>
      </c>
      <c r="D27" s="8">
        <f t="shared" ref="D27" si="1">D26/D25</f>
        <v>0.27410000153672964</v>
      </c>
      <c r="E27" s="36">
        <f t="shared" ref="E27:J27" si="2">E26/E25</f>
        <v>0.361130000435191</v>
      </c>
      <c r="F27" s="36">
        <f t="shared" si="2"/>
        <v>0.21059000020415597</v>
      </c>
      <c r="G27" s="36">
        <f t="shared" si="2"/>
        <v>0.2397899998393081</v>
      </c>
      <c r="H27" s="36">
        <f t="shared" si="2"/>
        <v>0.21346999997645508</v>
      </c>
      <c r="I27" s="36">
        <f t="shared" si="2"/>
        <v>0.41933999988341603</v>
      </c>
      <c r="J27" s="36">
        <f t="shared" si="2"/>
        <v>0.3381999999751592</v>
      </c>
      <c r="K27" s="36">
        <f t="shared" ref="K27:L27" si="3">K26/K25</f>
        <v>0.2622099999491293</v>
      </c>
      <c r="L27" s="36">
        <f t="shared" si="3"/>
        <v>0.22594000002679171</v>
      </c>
      <c r="N27" s="6" t="s">
        <v>39</v>
      </c>
      <c r="O27" s="8">
        <v>2.5351854169746502</v>
      </c>
      <c r="P27" s="9">
        <v>2.5351854169746502</v>
      </c>
      <c r="Q27" s="9">
        <v>2.5351854169746502</v>
      </c>
    </row>
    <row r="28" spans="2:17" ht="15.75" thickBot="1">
      <c r="B28" s="10" t="s">
        <v>48</v>
      </c>
      <c r="C28" s="14" t="e">
        <f t="shared" ref="C28" si="4">ABS(C23-C24)/C23</f>
        <v>#VALUE!</v>
      </c>
      <c r="D28" s="14">
        <f t="shared" ref="D28" si="5">ABS(D23-D24)/D23</f>
        <v>6.4010581752166373E-4</v>
      </c>
      <c r="E28" s="15" t="e">
        <f t="shared" ref="E28:J28" si="6">ABS(E23-E24)/E23</f>
        <v>#VALUE!</v>
      </c>
      <c r="F28" s="15">
        <f t="shared" si="6"/>
        <v>3.6205796796285445E-3</v>
      </c>
      <c r="G28" s="15">
        <f t="shared" si="6"/>
        <v>9.0109548535511175E-2</v>
      </c>
      <c r="H28" s="15">
        <f t="shared" si="6"/>
        <v>5.8843206210397658E-3</v>
      </c>
      <c r="I28" s="15">
        <f t="shared" si="6"/>
        <v>0.33829141137082042</v>
      </c>
      <c r="J28" s="15">
        <f t="shared" si="6"/>
        <v>0.2137690477748159</v>
      </c>
      <c r="K28" s="15">
        <f t="shared" ref="K28:L28" si="7">ABS(K23-K24)/K23</f>
        <v>8.3442359581609948E-2</v>
      </c>
      <c r="L28" s="15">
        <f t="shared" si="7"/>
        <v>1.6582798337452277E-2</v>
      </c>
      <c r="N28" s="6" t="s">
        <v>42</v>
      </c>
      <c r="O28" s="8">
        <v>1.74688974188108</v>
      </c>
      <c r="P28" s="9">
        <v>2.3264006051680401</v>
      </c>
      <c r="Q28" s="8">
        <v>2.4596430846395498</v>
      </c>
    </row>
    <row r="29" spans="2:17" ht="15.75" thickTop="1">
      <c r="C29">
        <v>0.68001597700000005</v>
      </c>
      <c r="D29" s="35">
        <f>ABS(C29-0.669)/C29</f>
        <v>1.6199585557678756E-2</v>
      </c>
      <c r="E29">
        <v>0.73922335299999997</v>
      </c>
      <c r="F29" s="35">
        <f>ABS(E29-0.7)/E29</f>
        <v>5.3060218999872448E-2</v>
      </c>
      <c r="G29" s="35">
        <f>ABS(E29-0.71)/E29</f>
        <v>3.9532507842727757E-2</v>
      </c>
      <c r="H29" s="35">
        <f>ABS(E29-0.701)/E29</f>
        <v>5.170744788415798E-2</v>
      </c>
      <c r="I29">
        <v>0.80004150799999996</v>
      </c>
      <c r="J29" s="35">
        <f>ABS($I$29-0.78)/$I$29</f>
        <v>2.5050585250384196E-2</v>
      </c>
      <c r="K29" s="35">
        <f>ABS($I$29-0.76)/$I$29</f>
        <v>5.0049288192682062E-2</v>
      </c>
      <c r="L29" s="35">
        <f>ABS($I$29-0.75)/$I$29</f>
        <v>6.2548639663830993E-2</v>
      </c>
      <c r="N29" s="6" t="s">
        <v>45</v>
      </c>
      <c r="O29" s="8">
        <v>0.4512702379996899</v>
      </c>
      <c r="P29" s="9">
        <v>0.4512702379996899</v>
      </c>
      <c r="Q29" s="9">
        <v>0.4512702379996899</v>
      </c>
    </row>
    <row r="30" spans="2:17">
      <c r="N30" s="6" t="s">
        <v>49</v>
      </c>
      <c r="O30" s="8">
        <v>0.21650249893157095</v>
      </c>
      <c r="P30" s="9">
        <v>0.40091749199999999</v>
      </c>
      <c r="Q30" s="8">
        <v>0.44257336200000003</v>
      </c>
    </row>
    <row r="31" spans="2:17" ht="18">
      <c r="D31" s="57">
        <f>D24/0.1</f>
        <v>1.7456206671590897</v>
      </c>
      <c r="F31">
        <f>F24/D24</f>
        <v>1.7482741621893259</v>
      </c>
      <c r="G31">
        <f>G24/D24</f>
        <v>1.5850071689052427</v>
      </c>
      <c r="H31" s="57">
        <f>H24/D24</f>
        <v>1.7317203542787976</v>
      </c>
      <c r="I31">
        <f>I24/$Q$25</f>
        <v>1.1603650653637874</v>
      </c>
      <c r="J31">
        <f t="shared" ref="J31:L31" si="8">J24/$Q$25</f>
        <v>1.3787251027623435</v>
      </c>
      <c r="K31">
        <f t="shared" si="8"/>
        <v>1.6072628932539279</v>
      </c>
      <c r="L31" s="57">
        <f t="shared" si="8"/>
        <v>1.7245062511835829</v>
      </c>
      <c r="N31" s="6" t="s">
        <v>50</v>
      </c>
      <c r="O31" s="8">
        <f>O27/(O27-O29)</f>
        <v>1.2165492350901064</v>
      </c>
      <c r="P31" s="9">
        <f t="shared" ref="P31:Q31" si="9">P27/(P27-P29)</f>
        <v>1.2165492350901064</v>
      </c>
      <c r="Q31" s="9">
        <f t="shared" si="9"/>
        <v>1.2165492350901064</v>
      </c>
    </row>
    <row r="32" spans="2:17" ht="18.75" thickBot="1">
      <c r="C32">
        <f>D25*2+H25*2+L25*2</f>
        <v>5.84409475</v>
      </c>
      <c r="N32" s="16" t="s">
        <v>52</v>
      </c>
      <c r="O32" s="17">
        <f>O28/(O28-O30)</f>
        <v>1.1414690954390776</v>
      </c>
      <c r="P32" s="18">
        <f>P28/(P28-P30)</f>
        <v>1.2082165713416004</v>
      </c>
      <c r="Q32" s="18">
        <f>Q28/(Q28-Q30)</f>
        <v>1.2194140128288902</v>
      </c>
    </row>
    <row r="33" spans="2:8" ht="15.75" thickTop="1">
      <c r="C33">
        <f>C26*2</f>
        <v>4.1048212475935E-2</v>
      </c>
      <c r="D33" s="35">
        <f>AVERAGE(D28,H28,L28)</f>
        <v>7.7024082586712355E-3</v>
      </c>
      <c r="F33" s="35">
        <f>AVERAGE(D29,H29,L29)</f>
        <v>4.3485224368555918E-2</v>
      </c>
      <c r="H33">
        <f>C26*2/(D25*2+H25*2+L25*2)</f>
        <v>7.023878672729425E-3</v>
      </c>
    </row>
    <row r="34" spans="2:8">
      <c r="D34">
        <f>C33/C32</f>
        <v>7.023878672729425E-3</v>
      </c>
    </row>
    <row r="35" spans="2:8" s="57" customFormat="1">
      <c r="B35" s="57" t="s">
        <v>130</v>
      </c>
    </row>
    <row r="37" spans="2:8" ht="15.75" thickBot="1"/>
    <row r="38" spans="2:8" ht="16.5" thickTop="1" thickBot="1">
      <c r="B38" s="134" t="s">
        <v>111</v>
      </c>
      <c r="C38" s="135"/>
      <c r="D38" s="135"/>
      <c r="E38" s="135"/>
      <c r="F38" s="136"/>
    </row>
    <row r="39" spans="2:8" ht="16.5" thickTop="1" thickBot="1">
      <c r="B39" s="3" t="s">
        <v>113</v>
      </c>
      <c r="C39" s="4" t="s">
        <v>67</v>
      </c>
      <c r="D39" s="3" t="s">
        <v>68</v>
      </c>
      <c r="E39" s="5" t="s">
        <v>69</v>
      </c>
      <c r="F39" s="3" t="s">
        <v>70</v>
      </c>
    </row>
    <row r="40" spans="2:8" ht="15.75" thickTop="1">
      <c r="B40" s="6" t="s">
        <v>71</v>
      </c>
      <c r="C40" s="4">
        <v>1</v>
      </c>
      <c r="D40" s="5">
        <v>4.3499999999999997E-2</v>
      </c>
      <c r="E40" s="5">
        <f>(E42*D40*D40)^(1/3)</f>
        <v>0.10009632385402746</v>
      </c>
      <c r="F40" s="7">
        <f>E40/D40</f>
        <v>2.3010649161845396</v>
      </c>
    </row>
    <row r="41" spans="2:8">
      <c r="B41" s="6" t="s">
        <v>72</v>
      </c>
      <c r="C41" s="6">
        <v>2</v>
      </c>
      <c r="D41" s="8">
        <f>E40</f>
        <v>0.10009632385402746</v>
      </c>
      <c r="E41" s="8">
        <f>E40^2/D40</f>
        <v>0.23032813905954821</v>
      </c>
      <c r="F41" s="9">
        <f>E41/D41</f>
        <v>2.3010649161845396</v>
      </c>
    </row>
    <row r="42" spans="2:8" ht="15.75" thickBot="1">
      <c r="B42" s="10" t="s">
        <v>116</v>
      </c>
      <c r="C42" s="10">
        <v>3</v>
      </c>
      <c r="D42" s="11">
        <f>E41</f>
        <v>0.23032813905954821</v>
      </c>
      <c r="E42" s="11">
        <v>0.53</v>
      </c>
      <c r="F42" s="12">
        <f>E42/D42</f>
        <v>2.3010649161845382</v>
      </c>
    </row>
    <row r="43" spans="2:8" ht="15.75" thickTop="1"/>
  </sheetData>
  <mergeCells count="5">
    <mergeCell ref="B11:F11"/>
    <mergeCell ref="A1:G8"/>
    <mergeCell ref="B18:D18"/>
    <mergeCell ref="N19:P19"/>
    <mergeCell ref="B38:F38"/>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952AC-50EE-446A-A86B-3463882FD150}">
  <sheetPr codeName="Hoja4"/>
  <dimension ref="A1:P52"/>
  <sheetViews>
    <sheetView topLeftCell="K16" zoomScale="90" zoomScaleNormal="90" workbookViewId="0">
      <selection activeCell="P25" sqref="P25"/>
    </sheetView>
  </sheetViews>
  <sheetFormatPr defaultColWidth="11.42578125" defaultRowHeight="15"/>
  <cols>
    <col min="3" max="3" width="13.28515625" bestFit="1" customWidth="1"/>
    <col min="4" max="4" width="19.7109375" bestFit="1" customWidth="1"/>
    <col min="5" max="5" width="19.28515625" bestFit="1" customWidth="1"/>
    <col min="6" max="6" width="18.85546875" bestFit="1" customWidth="1"/>
    <col min="7" max="7" width="19.28515625" bestFit="1" customWidth="1"/>
    <col min="8" max="8" width="19.85546875" bestFit="1" customWidth="1"/>
    <col min="9" max="9" width="15.42578125" bestFit="1" customWidth="1"/>
    <col min="10" max="11" width="18.85546875" bestFit="1" customWidth="1"/>
    <col min="12" max="12" width="19.85546875" bestFit="1" customWidth="1"/>
    <col min="13" max="13" width="19.28515625" bestFit="1" customWidth="1"/>
    <col min="14" max="14" width="19.85546875" bestFit="1" customWidth="1"/>
    <col min="15" max="16" width="18.85546875" bestFit="1" customWidth="1"/>
  </cols>
  <sheetData>
    <row r="1" spans="1:12">
      <c r="A1" s="132" t="s">
        <v>110</v>
      </c>
      <c r="B1" s="133"/>
      <c r="C1" s="133"/>
      <c r="D1" s="133"/>
      <c r="E1" s="133"/>
      <c r="F1" s="133"/>
      <c r="G1" s="133"/>
    </row>
    <row r="2" spans="1:12">
      <c r="A2" s="133"/>
      <c r="B2" s="133"/>
      <c r="C2" s="133"/>
      <c r="D2" s="133"/>
      <c r="E2" s="133"/>
      <c r="F2" s="133"/>
      <c r="G2" s="133"/>
    </row>
    <row r="3" spans="1:12">
      <c r="A3" s="133"/>
      <c r="B3" s="133"/>
      <c r="C3" s="133"/>
      <c r="D3" s="133"/>
      <c r="E3" s="133"/>
      <c r="F3" s="133"/>
      <c r="G3" s="133"/>
    </row>
    <row r="4" spans="1:12">
      <c r="A4" s="133"/>
      <c r="B4" s="133"/>
      <c r="C4" s="133"/>
      <c r="D4" s="133"/>
      <c r="E4" s="133"/>
      <c r="F4" s="133"/>
      <c r="G4" s="133"/>
    </row>
    <row r="5" spans="1:12">
      <c r="A5" s="133"/>
      <c r="B5" s="133"/>
      <c r="C5" s="133"/>
      <c r="D5" s="133"/>
      <c r="E5" s="133"/>
      <c r="F5" s="133"/>
      <c r="G5" s="133"/>
    </row>
    <row r="6" spans="1:12">
      <c r="A6" s="133"/>
      <c r="B6" s="133"/>
      <c r="C6" s="133"/>
      <c r="D6" s="133"/>
      <c r="E6" s="133"/>
      <c r="F6" s="133"/>
      <c r="G6" s="133"/>
    </row>
    <row r="7" spans="1:12">
      <c r="A7" s="133"/>
      <c r="B7" s="133"/>
      <c r="C7" s="133"/>
      <c r="D7" s="133"/>
      <c r="E7" s="133"/>
      <c r="F7" s="133"/>
      <c r="G7" s="133"/>
    </row>
    <row r="8" spans="1:12">
      <c r="A8" s="133"/>
      <c r="B8" s="133"/>
      <c r="C8" s="133"/>
      <c r="D8" s="133"/>
      <c r="E8" s="133"/>
      <c r="F8" s="133"/>
      <c r="G8" s="133"/>
    </row>
    <row r="10" spans="1:12" ht="15.75" thickBot="1"/>
    <row r="11" spans="1:12" ht="17.25" thickTop="1" thickBot="1">
      <c r="B11" s="134" t="s">
        <v>111</v>
      </c>
      <c r="C11" s="135"/>
      <c r="D11" s="135"/>
      <c r="E11" s="135"/>
      <c r="F11" s="136"/>
      <c r="H11" s="1" t="s">
        <v>112</v>
      </c>
      <c r="I11" s="2">
        <f>'Caso 1'!I17/'Caso 1'!H17</f>
        <v>1</v>
      </c>
    </row>
    <row r="12" spans="1:12" ht="17.25" thickTop="1" thickBot="1">
      <c r="B12" s="3" t="s">
        <v>113</v>
      </c>
      <c r="C12" s="4" t="s">
        <v>67</v>
      </c>
      <c r="D12" s="3" t="s">
        <v>68</v>
      </c>
      <c r="E12" s="5" t="s">
        <v>69</v>
      </c>
      <c r="F12" s="3" t="s">
        <v>70</v>
      </c>
      <c r="H12" s="1" t="s">
        <v>114</v>
      </c>
      <c r="I12" s="2" t="e">
        <f>#REF!/'Caso 1'!I17</f>
        <v>#REF!</v>
      </c>
    </row>
    <row r="13" spans="1:12" ht="17.25" thickTop="1" thickBot="1">
      <c r="B13" s="6" t="s">
        <v>71</v>
      </c>
      <c r="C13" s="4">
        <v>1</v>
      </c>
      <c r="D13" s="5">
        <v>0.1</v>
      </c>
      <c r="E13" s="5">
        <f>SQRT(E14*D13)</f>
        <v>0.15172912992053531</v>
      </c>
      <c r="F13" s="7">
        <f>E13/D13</f>
        <v>1.5172912992053529</v>
      </c>
      <c r="H13" s="1" t="s">
        <v>115</v>
      </c>
      <c r="I13" s="2" t="e">
        <f>0.4128/#REF!</f>
        <v>#REF!</v>
      </c>
      <c r="L13">
        <v>21038.7411072</v>
      </c>
    </row>
    <row r="14" spans="1:12" ht="15.75" thickTop="1">
      <c r="B14" s="6" t="s">
        <v>72</v>
      </c>
      <c r="C14" s="6">
        <v>2</v>
      </c>
      <c r="D14" s="8">
        <f>E13</f>
        <v>0.15172912992053531</v>
      </c>
      <c r="E14" s="8">
        <f>SQRT(E16*D13)</f>
        <v>0.23021728866442678</v>
      </c>
      <c r="F14" s="9">
        <f>E14/D14</f>
        <v>1.5172912992053529</v>
      </c>
    </row>
    <row r="15" spans="1:12" ht="15.75" thickBot="1">
      <c r="B15" s="10" t="s">
        <v>116</v>
      </c>
      <c r="C15" s="6">
        <v>3</v>
      </c>
      <c r="D15" s="8">
        <f>E14</f>
        <v>0.23021728866442678</v>
      </c>
      <c r="E15">
        <f>SQRT(E16*E14)</f>
        <v>0.34930668901718187</v>
      </c>
      <c r="F15" s="9">
        <f>E15/D15</f>
        <v>1.5172912992053529</v>
      </c>
    </row>
    <row r="16" spans="1:12" ht="16.5" thickTop="1" thickBot="1">
      <c r="B16" s="8"/>
      <c r="C16" s="10">
        <v>4</v>
      </c>
      <c r="D16" s="11">
        <f>E15</f>
        <v>0.34930668901718187</v>
      </c>
      <c r="E16" s="11">
        <v>0.53</v>
      </c>
      <c r="F16" s="12">
        <f>E16/D16</f>
        <v>1.5172912992053529</v>
      </c>
    </row>
    <row r="17" spans="2:16" ht="15.75" thickTop="1">
      <c r="B17" s="8"/>
      <c r="C17" s="8"/>
      <c r="D17" s="8"/>
      <c r="E17" s="8"/>
      <c r="F17" s="8"/>
      <c r="I17" t="s">
        <v>117</v>
      </c>
      <c r="J17">
        <f>C19*D27+C19*H27+C19*L27+C19*O27</f>
        <v>16.675680314000001</v>
      </c>
      <c r="L17" t="s">
        <v>85</v>
      </c>
      <c r="M17">
        <v>4.3900000000000002E-2</v>
      </c>
    </row>
    <row r="18" spans="2:16">
      <c r="I18" t="s">
        <v>96</v>
      </c>
      <c r="J18">
        <f>C28*C19</f>
        <v>4.1048212475935E-2</v>
      </c>
      <c r="L18" t="s">
        <v>48</v>
      </c>
      <c r="M18" s="72">
        <f>ABS(M17-J19)/M17</f>
        <v>0.94392798428868707</v>
      </c>
    </row>
    <row r="19" spans="2:16" ht="15.75" thickBot="1">
      <c r="B19" t="s">
        <v>118</v>
      </c>
      <c r="C19">
        <v>2</v>
      </c>
      <c r="I19" s="57" t="s">
        <v>119</v>
      </c>
      <c r="J19" s="57">
        <f>J18/J17</f>
        <v>2.4615614897266374E-3</v>
      </c>
    </row>
    <row r="20" spans="2:16" ht="16.5" thickTop="1" thickBot="1">
      <c r="B20" s="134" t="s">
        <v>88</v>
      </c>
      <c r="C20" s="135"/>
      <c r="D20" s="136"/>
    </row>
    <row r="21" spans="2:16" ht="16.5" thickTop="1" thickBot="1">
      <c r="B21" s="6" t="s">
        <v>13</v>
      </c>
      <c r="C21" s="1" t="s">
        <v>17</v>
      </c>
      <c r="D21" s="67" t="s">
        <v>131</v>
      </c>
      <c r="E21" s="1" t="s">
        <v>76</v>
      </c>
      <c r="F21" s="1" t="s">
        <v>132</v>
      </c>
      <c r="G21" s="1" t="s">
        <v>133</v>
      </c>
      <c r="H21" s="67" t="s">
        <v>134</v>
      </c>
      <c r="I21" s="13" t="s">
        <v>124</v>
      </c>
      <c r="J21" s="13" t="s">
        <v>135</v>
      </c>
      <c r="K21" s="13" t="s">
        <v>136</v>
      </c>
      <c r="L21" s="68" t="s">
        <v>137</v>
      </c>
      <c r="M21" s="13" t="s">
        <v>138</v>
      </c>
      <c r="N21" s="13" t="s">
        <v>139</v>
      </c>
      <c r="O21" s="68" t="s">
        <v>140</v>
      </c>
      <c r="P21" s="13"/>
    </row>
    <row r="22" spans="2:16" ht="15.75" thickTop="1">
      <c r="B22" s="4" t="s">
        <v>20</v>
      </c>
      <c r="C22" s="5">
        <v>3.3543637300000002</v>
      </c>
      <c r="D22">
        <v>4.0470286309999999</v>
      </c>
      <c r="E22" s="7">
        <v>6.132576566</v>
      </c>
      <c r="F22" s="8">
        <v>8.5679158609999995</v>
      </c>
      <c r="G22" s="8">
        <v>8.2465900390000009</v>
      </c>
      <c r="H22" s="8">
        <v>8.1859266589999997</v>
      </c>
      <c r="I22" s="8">
        <v>12.93131822</v>
      </c>
      <c r="J22" s="8">
        <v>14.799642909999999</v>
      </c>
      <c r="K22" s="8">
        <v>16.59666897</v>
      </c>
      <c r="L22" s="8">
        <v>16.004204359999999</v>
      </c>
      <c r="M22" s="8">
        <v>26.910825920000001</v>
      </c>
      <c r="N22">
        <v>29.65135987</v>
      </c>
      <c r="O22" s="8">
        <v>37.723275489999999</v>
      </c>
    </row>
    <row r="23" spans="2:16">
      <c r="B23" s="6" t="s">
        <v>23</v>
      </c>
      <c r="C23" s="8">
        <v>9.2700864840000001</v>
      </c>
      <c r="D23">
        <v>11.18432836</v>
      </c>
      <c r="E23" s="9">
        <v>13.97104242</v>
      </c>
      <c r="F23" s="8">
        <v>19.519155550000001</v>
      </c>
      <c r="G23" s="8">
        <v>18.787121200000001</v>
      </c>
      <c r="H23" s="8">
        <v>18.648919809999999</v>
      </c>
      <c r="I23" s="8">
        <v>28.657632039999999</v>
      </c>
      <c r="J23" s="8">
        <v>32.798104080000002</v>
      </c>
      <c r="K23" s="8">
        <v>36.780568250000002</v>
      </c>
      <c r="L23" s="8">
        <v>35.467582810000003</v>
      </c>
      <c r="M23" s="8">
        <v>51.393755349999999</v>
      </c>
      <c r="N23">
        <v>56.627572100000002</v>
      </c>
      <c r="O23">
        <v>67.41552093</v>
      </c>
    </row>
    <row r="24" spans="2:16">
      <c r="B24" s="6" t="s">
        <v>26</v>
      </c>
      <c r="C24" s="8">
        <v>13.67544992</v>
      </c>
      <c r="D24">
        <v>14.891698209999999</v>
      </c>
      <c r="E24" s="9">
        <v>23.763499970000002</v>
      </c>
      <c r="F24" s="8">
        <v>27.005779879999999</v>
      </c>
      <c r="G24" s="8">
        <v>26.54185292</v>
      </c>
      <c r="H24" s="8">
        <v>26.455368530000001</v>
      </c>
      <c r="I24" s="8">
        <v>44.759650620000002</v>
      </c>
      <c r="J24" s="8">
        <v>47.21287967</v>
      </c>
      <c r="K24" s="8">
        <v>49.746958290000002</v>
      </c>
      <c r="L24" s="8">
        <v>48.894226770000003</v>
      </c>
      <c r="M24">
        <v>80.252496579999999</v>
      </c>
      <c r="N24">
        <v>83.31146115</v>
      </c>
      <c r="O24" s="8">
        <v>90.093584870000001</v>
      </c>
    </row>
    <row r="25" spans="2:16">
      <c r="B25" s="6" t="s">
        <v>32</v>
      </c>
      <c r="C25" s="43">
        <v>0.15182680000000001</v>
      </c>
      <c r="D25">
        <v>0.15182850000000001</v>
      </c>
      <c r="E25" s="23">
        <v>0.23031599999999999</v>
      </c>
      <c r="F25" s="8">
        <v>0.2303161</v>
      </c>
      <c r="G25" s="23">
        <v>0.23031626499561478</v>
      </c>
      <c r="H25" s="8">
        <v>0.2303161</v>
      </c>
      <c r="I25" s="8">
        <v>0.34940339999999998</v>
      </c>
      <c r="J25" s="8">
        <v>0.3494062</v>
      </c>
      <c r="K25" s="8">
        <v>0.3494043</v>
      </c>
      <c r="L25" s="8">
        <v>0.34940640000000001</v>
      </c>
      <c r="M25">
        <v>0.53009830000000002</v>
      </c>
      <c r="N25">
        <v>0.53009649999999997</v>
      </c>
      <c r="O25" s="8">
        <v>0.53009689999999998</v>
      </c>
    </row>
    <row r="26" spans="2:16">
      <c r="B26" s="6" t="s">
        <v>35</v>
      </c>
      <c r="C26" s="43" t="s">
        <v>129</v>
      </c>
      <c r="D26">
        <v>0.17379208154803599</v>
      </c>
      <c r="E26" s="9" t="s">
        <v>129</v>
      </c>
      <c r="F26" s="8">
        <v>0.25435605920249099</v>
      </c>
      <c r="G26" s="8">
        <v>0.23772950816199601</v>
      </c>
      <c r="H26" s="8">
        <v>0.23446655813676001</v>
      </c>
      <c r="I26" s="8" t="s">
        <v>129</v>
      </c>
      <c r="J26" s="8">
        <v>0.30306727733000599</v>
      </c>
      <c r="K26" s="8">
        <v>0.36734091334673002</v>
      </c>
      <c r="L26" s="8">
        <v>0.34762504558320201</v>
      </c>
      <c r="M26" t="s">
        <v>129</v>
      </c>
      <c r="N26" s="8">
        <v>0.43082690148535202</v>
      </c>
      <c r="O26" s="8">
        <v>0.53039932181731697</v>
      </c>
    </row>
    <row r="27" spans="2:16">
      <c r="B27" s="6" t="s">
        <v>38</v>
      </c>
      <c r="C27" s="8">
        <v>5.1169548740929299E-2</v>
      </c>
      <c r="D27">
        <v>7.4484144000000002E-2</v>
      </c>
      <c r="E27" s="9">
        <v>0.17103194599999999</v>
      </c>
      <c r="F27" s="8">
        <v>0.33384253200000003</v>
      </c>
      <c r="G27" s="8">
        <v>0.30927163499999999</v>
      </c>
      <c r="H27" s="8">
        <v>0.30473825700000001</v>
      </c>
      <c r="I27" s="8">
        <v>0.97082403900000003</v>
      </c>
      <c r="J27" s="8">
        <v>1.271620137</v>
      </c>
      <c r="K27" s="8">
        <v>1.5991779260000001</v>
      </c>
      <c r="L27" s="8">
        <v>1.4870415379999999</v>
      </c>
      <c r="M27" s="8">
        <v>4.2044479150000003</v>
      </c>
      <c r="N27" s="8">
        <v>5.1043935889999998</v>
      </c>
      <c r="O27" s="8">
        <v>6.471576218</v>
      </c>
    </row>
    <row r="28" spans="2:16">
      <c r="B28" s="6" t="s">
        <v>41</v>
      </c>
      <c r="C28" s="8">
        <v>2.05241062379675E-2</v>
      </c>
      <c r="D28" s="8">
        <v>2.05241062379675E-2</v>
      </c>
      <c r="E28" s="19">
        <v>9.5008246237967497E-2</v>
      </c>
      <c r="F28" s="19">
        <v>9.5008246237967497E-2</v>
      </c>
      <c r="G28" s="19">
        <v>9.5008246237967497E-2</v>
      </c>
      <c r="H28" s="129">
        <v>9.5008246237967497E-2</v>
      </c>
      <c r="I28" s="71">
        <v>0.39974650623796798</v>
      </c>
      <c r="J28" s="71">
        <v>0.39974650623796798</v>
      </c>
      <c r="K28" s="71">
        <v>0.39974650623796798</v>
      </c>
      <c r="L28" s="77">
        <v>0.39974650623796798</v>
      </c>
      <c r="M28" s="71">
        <v>1.88678804623797</v>
      </c>
      <c r="N28" s="71">
        <v>1.88678804623797</v>
      </c>
      <c r="O28" s="59">
        <v>1.88678804623797</v>
      </c>
    </row>
    <row r="29" spans="2:16">
      <c r="B29" s="6" t="s">
        <v>44</v>
      </c>
      <c r="C29" s="8">
        <f t="shared" ref="C29:D29" si="0">C28/C27</f>
        <v>0.40110000465082779</v>
      </c>
      <c r="D29" s="8">
        <f t="shared" si="0"/>
        <v>0.27555000481669628</v>
      </c>
      <c r="E29" s="36">
        <f t="shared" ref="E29:J29" si="1">E28/E27</f>
        <v>0.55550000137382227</v>
      </c>
      <c r="F29" s="36">
        <f t="shared" si="1"/>
        <v>0.28459000016800584</v>
      </c>
      <c r="G29" s="36">
        <f t="shared" si="1"/>
        <v>0.30719999988995922</v>
      </c>
      <c r="H29" s="36">
        <f t="shared" si="1"/>
        <v>0.3117699995178731</v>
      </c>
      <c r="I29" s="36">
        <f t="shared" si="1"/>
        <v>0.41175999993750462</v>
      </c>
      <c r="J29" s="36">
        <f t="shared" si="1"/>
        <v>0.3143599999769176</v>
      </c>
      <c r="K29" s="36">
        <f t="shared" ref="K29:L29" si="2">K28/K27</f>
        <v>0.2499700000473668</v>
      </c>
      <c r="L29" s="36">
        <f t="shared" si="2"/>
        <v>0.26881999999516354</v>
      </c>
      <c r="M29" s="36">
        <f t="shared" ref="M29:N29" si="3">M28/M27</f>
        <v>0.44875999997682692</v>
      </c>
      <c r="N29" s="36">
        <f t="shared" si="3"/>
        <v>0.36964000000000197</v>
      </c>
      <c r="O29" s="36">
        <f t="shared" ref="O29" si="4">O28/O27</f>
        <v>0.29154999998146819</v>
      </c>
    </row>
    <row r="30" spans="2:16" ht="15.75" thickBot="1">
      <c r="B30" s="10" t="s">
        <v>48</v>
      </c>
      <c r="C30" s="14" t="e">
        <f t="shared" ref="C30:D30" si="5">ABS(C25-C26)/C25</f>
        <v>#VALUE!</v>
      </c>
      <c r="D30" s="14">
        <f t="shared" si="5"/>
        <v>0.14466046590749423</v>
      </c>
      <c r="E30" s="15" t="e">
        <f t="shared" ref="E30:J30" si="6">ABS(E25-E26)/E25</f>
        <v>#VALUE!</v>
      </c>
      <c r="F30" s="15">
        <f t="shared" si="6"/>
        <v>0.10437810992149918</v>
      </c>
      <c r="G30" s="15">
        <f t="shared" si="6"/>
        <v>3.2187232484524597E-2</v>
      </c>
      <c r="H30" s="15">
        <f t="shared" si="6"/>
        <v>1.8020703445221657E-2</v>
      </c>
      <c r="I30" s="15" t="e">
        <f t="shared" si="6"/>
        <v>#VALUE!</v>
      </c>
      <c r="J30" s="15">
        <f t="shared" si="6"/>
        <v>0.13262192448214716</v>
      </c>
      <c r="K30" s="15">
        <f t="shared" ref="K30:L30" si="7">ABS(K25-K26)/K25</f>
        <v>5.1334838600240532E-2</v>
      </c>
      <c r="L30" s="15">
        <f t="shared" si="7"/>
        <v>5.0982306471718825E-3</v>
      </c>
      <c r="M30" s="15" t="e">
        <f t="shared" ref="M30:N30" si="8">ABS(M25-M26)/M25</f>
        <v>#VALUE!</v>
      </c>
      <c r="N30" s="15">
        <f t="shared" si="8"/>
        <v>0.1872670325396375</v>
      </c>
      <c r="O30" s="15">
        <f t="shared" ref="O30" si="9">ABS(O25-O26)/O25</f>
        <v>5.7050289733252357E-4</v>
      </c>
    </row>
    <row r="31" spans="2:16" ht="15.75" thickTop="1">
      <c r="C31">
        <v>0.64679347099999995</v>
      </c>
      <c r="D31" s="35">
        <f>ABS(C31-0.6216)/C31</f>
        <v>3.8951337837484008E-2</v>
      </c>
      <c r="E31">
        <v>0.67483235600000002</v>
      </c>
      <c r="F31" s="35">
        <f>ABS(E31-0.62)/E31</f>
        <v>8.1253300190010494E-2</v>
      </c>
      <c r="G31" s="35">
        <f>ABS(E31-0.625)/E31</f>
        <v>7.3844052610897659E-2</v>
      </c>
      <c r="H31" s="35">
        <f>ABS(E31-0.626)/E31</f>
        <v>7.2362203095075101E-2</v>
      </c>
      <c r="I31">
        <v>0.72781428800000003</v>
      </c>
      <c r="J31" s="35">
        <f>ABS($I$31-0.7)/$I$31</f>
        <v>3.8216188468122067E-2</v>
      </c>
      <c r="K31" s="35">
        <f>ABS($I$31-0.68)/$I$31</f>
        <v>6.5695725940461316E-2</v>
      </c>
      <c r="L31" s="35">
        <f>ABS($I$31-0.75)/$I$31</f>
        <v>3.0482655212726421E-2</v>
      </c>
      <c r="M31">
        <v>0.78172294399999998</v>
      </c>
      <c r="N31" s="58">
        <f>ABS($M$31-0.76)/$M$31</f>
        <v>2.7788546014583866E-2</v>
      </c>
      <c r="O31" s="58">
        <f>ABS($M$31-0.726)/$M$31</f>
        <v>7.1282216324457789E-2</v>
      </c>
    </row>
    <row r="33" spans="2:15">
      <c r="D33" s="57">
        <f>D26/0.1</f>
        <v>1.7379208154803598</v>
      </c>
      <c r="F33">
        <f>F26/D26</f>
        <v>1.463565295592522</v>
      </c>
      <c r="G33">
        <f>G26/D26</f>
        <v>1.3678960861993459</v>
      </c>
      <c r="H33" s="57">
        <f>H26/D26</f>
        <v>1.3491210649430747</v>
      </c>
      <c r="I33" t="e">
        <f>I26/$E$44</f>
        <v>#VALUE!</v>
      </c>
      <c r="J33">
        <f>J26/$E$44</f>
        <v>1.2925821052622457</v>
      </c>
      <c r="K33">
        <f>K26/$E$44</f>
        <v>1.5667091983858392</v>
      </c>
      <c r="L33" s="57">
        <f>L26/$E$44</f>
        <v>1.4826210114810434</v>
      </c>
      <c r="M33" t="e">
        <f>M26/$E$44</f>
        <v>#VALUE!</v>
      </c>
      <c r="N33">
        <f>N26/$F$44</f>
        <v>1.2393436749143443</v>
      </c>
      <c r="O33" s="57">
        <f>O26/$F$44</f>
        <v>1.5257799417975739</v>
      </c>
    </row>
    <row r="35" spans="2:15">
      <c r="C35">
        <f>D27*2+H27*2+L27*2+O27*2</f>
        <v>16.675680314000001</v>
      </c>
      <c r="J35" s="35">
        <f>AVERAGE(D30,H30,L30,O30)</f>
        <v>4.2087475724305073E-2</v>
      </c>
      <c r="L35" s="35">
        <f>AVERAGE(D31,H31,L31,O31)</f>
        <v>5.3269603117435824E-2</v>
      </c>
    </row>
    <row r="36" spans="2:15">
      <c r="D36">
        <f>C28*2</f>
        <v>4.1048212475935E-2</v>
      </c>
      <c r="E36">
        <f>D36/C35</f>
        <v>2.4615614897266374E-3</v>
      </c>
    </row>
    <row r="37" spans="2:15" ht="15.75" thickBot="1">
      <c r="L37">
        <f>D28*2/(D27*2+H27*2+L27*2+O27*2)</f>
        <v>2.4615614897266374E-3</v>
      </c>
    </row>
    <row r="38" spans="2:15" ht="16.5" thickTop="1" thickBot="1">
      <c r="B38" s="134" t="s">
        <v>11</v>
      </c>
      <c r="C38" s="135"/>
      <c r="D38" s="136"/>
    </row>
    <row r="39" spans="2:15" ht="16.5" thickTop="1" thickBot="1">
      <c r="B39" s="6" t="s">
        <v>16</v>
      </c>
      <c r="C39" s="13" t="s">
        <v>17</v>
      </c>
      <c r="D39" s="9" t="s">
        <v>18</v>
      </c>
      <c r="E39" s="13" t="s">
        <v>128</v>
      </c>
      <c r="F39" s="13" t="s">
        <v>141</v>
      </c>
    </row>
    <row r="40" spans="2:15" ht="15.75" thickTop="1">
      <c r="B40" s="4" t="s">
        <v>21</v>
      </c>
      <c r="C40" s="5">
        <v>18.415576394438901</v>
      </c>
      <c r="D40" s="7">
        <v>18.415576394438901</v>
      </c>
      <c r="E40" s="7">
        <v>18.415576394438901</v>
      </c>
      <c r="F40" s="7">
        <v>18.415576394438901</v>
      </c>
    </row>
    <row r="41" spans="2:15">
      <c r="B41" s="6" t="s">
        <v>24</v>
      </c>
      <c r="C41" s="8">
        <v>38.4014043303387</v>
      </c>
      <c r="D41" s="9">
        <v>20.7482832042752</v>
      </c>
      <c r="E41">
        <v>18.921171231766401</v>
      </c>
      <c r="F41" s="8">
        <v>18.520426084068099</v>
      </c>
    </row>
    <row r="42" spans="2:15">
      <c r="B42" s="6" t="s">
        <v>27</v>
      </c>
      <c r="C42" s="8">
        <v>3.68</v>
      </c>
      <c r="D42" s="9">
        <v>3.68</v>
      </c>
      <c r="E42" s="9">
        <v>3.68</v>
      </c>
      <c r="F42" s="9">
        <v>3.68</v>
      </c>
    </row>
    <row r="43" spans="2:15">
      <c r="B43" s="6" t="s">
        <v>30</v>
      </c>
      <c r="C43" s="8">
        <v>323.14999999999998</v>
      </c>
      <c r="D43" s="9">
        <v>323.14999999999998</v>
      </c>
      <c r="E43" s="9">
        <v>323.14999999999998</v>
      </c>
      <c r="F43" s="9">
        <v>323.14999999999998</v>
      </c>
    </row>
    <row r="44" spans="2:15">
      <c r="B44" s="6" t="s">
        <v>33</v>
      </c>
      <c r="C44" s="8">
        <v>0.1</v>
      </c>
      <c r="D44" s="55">
        <f>D26</f>
        <v>0.17379208154803599</v>
      </c>
      <c r="E44">
        <f>H26</f>
        <v>0.23446655813676001</v>
      </c>
      <c r="F44">
        <f>L26</f>
        <v>0.34762504558320201</v>
      </c>
    </row>
    <row r="45" spans="2:15">
      <c r="B45" s="6" t="s">
        <v>36</v>
      </c>
      <c r="C45" s="8">
        <v>313.05</v>
      </c>
      <c r="D45" s="9">
        <v>310.77</v>
      </c>
      <c r="E45" s="8">
        <v>310.62</v>
      </c>
      <c r="F45" s="8">
        <v>310.98</v>
      </c>
    </row>
    <row r="46" spans="2:15">
      <c r="B46" s="6" t="s">
        <v>39</v>
      </c>
      <c r="C46" s="8">
        <v>2.5351854169746502</v>
      </c>
      <c r="D46" s="9">
        <v>2.5351854169746502</v>
      </c>
      <c r="E46" s="9">
        <v>2.5351854169746502</v>
      </c>
      <c r="F46" s="9">
        <v>2.5351854169746502</v>
      </c>
    </row>
    <row r="47" spans="2:15">
      <c r="B47" s="6" t="s">
        <v>42</v>
      </c>
      <c r="C47" s="8">
        <v>1.74688974188108</v>
      </c>
      <c r="D47" s="9">
        <v>2.3257271006899001</v>
      </c>
      <c r="E47" s="8">
        <v>2.4485846089678698</v>
      </c>
      <c r="F47" s="8">
        <v>2.4802906904476298</v>
      </c>
    </row>
    <row r="48" spans="2:15">
      <c r="B48" s="6" t="s">
        <v>45</v>
      </c>
      <c r="C48" s="8">
        <v>0.4512702379996899</v>
      </c>
      <c r="D48" s="9">
        <v>0.4512702379996899</v>
      </c>
      <c r="E48" s="9">
        <v>0.4512702379996899</v>
      </c>
      <c r="F48" s="9">
        <v>0.4512702379996899</v>
      </c>
    </row>
    <row r="49" spans="2:6">
      <c r="B49" s="6" t="s">
        <v>49</v>
      </c>
      <c r="C49" s="8">
        <v>0.21650249893157095</v>
      </c>
      <c r="D49" s="9">
        <v>0.40070785199999998</v>
      </c>
      <c r="E49" s="8">
        <v>0.439401975</v>
      </c>
      <c r="F49" s="8">
        <v>0.44890975799999999</v>
      </c>
    </row>
    <row r="50" spans="2:6" ht="18">
      <c r="B50" s="6" t="s">
        <v>50</v>
      </c>
      <c r="C50" s="8">
        <f>C46/(C46-C48)</f>
        <v>1.2165492350901064</v>
      </c>
      <c r="D50" s="9">
        <f t="shared" ref="D50:F50" si="10">D46/(D46-D48)</f>
        <v>1.2165492350901064</v>
      </c>
      <c r="E50" s="9">
        <f t="shared" si="10"/>
        <v>1.2165492350901064</v>
      </c>
      <c r="F50" s="9">
        <f t="shared" si="10"/>
        <v>1.2165492350901064</v>
      </c>
    </row>
    <row r="51" spans="2:6" ht="18.75" thickBot="1">
      <c r="B51" s="16" t="s">
        <v>52</v>
      </c>
      <c r="C51" s="17">
        <f>C47/(C47-C49)</f>
        <v>1.1414690954390776</v>
      </c>
      <c r="D51" s="18">
        <f>D47/(D47-D49)</f>
        <v>1.2081578416801326</v>
      </c>
      <c r="E51" s="18">
        <f>E47/(E47-E49)</f>
        <v>1.2186968807968637</v>
      </c>
      <c r="F51" s="18">
        <f>F47/(F47-F49)</f>
        <v>1.2209874823719569</v>
      </c>
    </row>
    <row r="52" spans="2:6" ht="15.75" thickTop="1"/>
  </sheetData>
  <mergeCells count="4">
    <mergeCell ref="A1:G8"/>
    <mergeCell ref="B11:F11"/>
    <mergeCell ref="B20:D20"/>
    <mergeCell ref="B38:D38"/>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BD7DD-F0EE-4DEC-A124-1CD8C02D0426}">
  <sheetPr codeName="Hoja5"/>
  <dimension ref="A1:L40"/>
  <sheetViews>
    <sheetView topLeftCell="A11" workbookViewId="0">
      <selection activeCell="C19" sqref="C19"/>
    </sheetView>
  </sheetViews>
  <sheetFormatPr defaultColWidth="11.42578125" defaultRowHeight="15"/>
  <cols>
    <col min="2" max="2" width="14.85546875" bestFit="1" customWidth="1"/>
    <col min="3" max="5" width="16.42578125" bestFit="1" customWidth="1"/>
    <col min="7" max="7" width="14.85546875" bestFit="1" customWidth="1"/>
    <col min="10" max="10" width="12" bestFit="1" customWidth="1"/>
    <col min="11" max="11" width="15.28515625" bestFit="1" customWidth="1"/>
    <col min="12" max="12" width="13.85546875" bestFit="1" customWidth="1"/>
    <col min="13" max="13" width="15.28515625" bestFit="1" customWidth="1"/>
    <col min="14" max="14" width="13.85546875" bestFit="1" customWidth="1"/>
    <col min="15" max="15" width="15.28515625" bestFit="1" customWidth="1"/>
    <col min="16" max="16" width="13.85546875" bestFit="1" customWidth="1"/>
  </cols>
  <sheetData>
    <row r="1" spans="1:12">
      <c r="A1" s="132" t="s">
        <v>142</v>
      </c>
      <c r="B1" s="133"/>
      <c r="C1" s="133"/>
      <c r="D1" s="133"/>
      <c r="E1" s="133"/>
      <c r="F1" s="133"/>
      <c r="G1" s="133"/>
    </row>
    <row r="2" spans="1:12">
      <c r="A2" s="133"/>
      <c r="B2" s="133"/>
      <c r="C2" s="133"/>
      <c r="D2" s="133"/>
      <c r="E2" s="133"/>
      <c r="F2" s="133"/>
      <c r="G2" s="133"/>
    </row>
    <row r="3" spans="1:12">
      <c r="A3" s="133"/>
      <c r="B3" s="133"/>
      <c r="C3" s="133"/>
      <c r="D3" s="133"/>
      <c r="E3" s="133"/>
      <c r="F3" s="133"/>
      <c r="G3" s="133"/>
    </row>
    <row r="4" spans="1:12">
      <c r="A4" s="133"/>
      <c r="B4" s="133"/>
      <c r="C4" s="133"/>
      <c r="D4" s="133"/>
      <c r="E4" s="133"/>
      <c r="F4" s="133"/>
      <c r="G4" s="133"/>
    </row>
    <row r="5" spans="1:12" ht="15.75">
      <c r="A5" s="133"/>
      <c r="B5" s="133"/>
      <c r="C5" s="133"/>
      <c r="D5" s="133"/>
      <c r="E5" s="133"/>
      <c r="F5" s="133"/>
      <c r="G5" s="133"/>
      <c r="K5" s="26"/>
    </row>
    <row r="6" spans="1:12">
      <c r="A6" s="133"/>
      <c r="B6" s="133"/>
      <c r="C6" s="133"/>
      <c r="D6" s="133"/>
      <c r="E6" s="133"/>
      <c r="F6" s="133"/>
      <c r="G6" s="133"/>
    </row>
    <row r="7" spans="1:12">
      <c r="A7" s="133"/>
      <c r="B7" s="133"/>
      <c r="C7" s="133"/>
      <c r="D7" s="133"/>
      <c r="E7" s="133"/>
      <c r="F7" s="133"/>
      <c r="G7" s="133"/>
    </row>
    <row r="8" spans="1:12">
      <c r="A8" s="133"/>
      <c r="B8" s="133"/>
      <c r="C8" s="133"/>
      <c r="D8" s="133"/>
      <c r="E8" s="133"/>
      <c r="F8" s="133"/>
      <c r="G8" s="133"/>
    </row>
    <row r="9" spans="1:12">
      <c r="L9" s="21"/>
    </row>
    <row r="10" spans="1:12" ht="15.75" thickBot="1">
      <c r="B10" s="8"/>
      <c r="C10" s="8"/>
      <c r="D10" s="8"/>
      <c r="E10" s="8"/>
      <c r="F10" s="8"/>
      <c r="G10" s="8"/>
      <c r="L10" s="21"/>
    </row>
    <row r="11" spans="1:12" ht="16.5" thickTop="1" thickBot="1">
      <c r="B11" s="134" t="s">
        <v>11</v>
      </c>
      <c r="C11" s="135"/>
      <c r="D11" s="136"/>
      <c r="E11" s="8"/>
      <c r="F11" s="8"/>
      <c r="G11" s="134" t="s">
        <v>11</v>
      </c>
      <c r="H11" s="135"/>
      <c r="I11" s="136"/>
      <c r="J11" s="8"/>
      <c r="L11" s="21"/>
    </row>
    <row r="12" spans="1:12" ht="16.5" thickTop="1" thickBot="1">
      <c r="B12" s="6" t="s">
        <v>13</v>
      </c>
      <c r="C12" s="1" t="s">
        <v>14</v>
      </c>
      <c r="D12" s="1" t="s">
        <v>15</v>
      </c>
      <c r="E12" s="1" t="s">
        <v>143</v>
      </c>
      <c r="F12" s="8"/>
      <c r="G12" s="6" t="s">
        <v>16</v>
      </c>
      <c r="H12" s="13" t="s">
        <v>17</v>
      </c>
      <c r="I12" s="9" t="s">
        <v>18</v>
      </c>
      <c r="J12" s="9" t="s">
        <v>144</v>
      </c>
      <c r="L12" s="21"/>
    </row>
    <row r="13" spans="1:12" ht="15.75" thickTop="1">
      <c r="B13" s="4" t="s">
        <v>20</v>
      </c>
      <c r="C13" s="5">
        <v>11.059134309999999</v>
      </c>
      <c r="D13" s="5">
        <v>11.059134309999999</v>
      </c>
      <c r="E13">
        <v>11.05979784</v>
      </c>
      <c r="F13" s="8"/>
      <c r="G13" s="4" t="s">
        <v>21</v>
      </c>
      <c r="H13" s="5">
        <v>18.415576394438901</v>
      </c>
      <c r="I13" s="5">
        <v>18.415576394438901</v>
      </c>
      <c r="J13" s="5">
        <v>18.415576394438901</v>
      </c>
      <c r="L13" s="21"/>
    </row>
    <row r="14" spans="1:12">
      <c r="B14" s="6" t="s">
        <v>23</v>
      </c>
      <c r="C14" s="8">
        <v>29.410450730000001</v>
      </c>
      <c r="D14" s="8">
        <v>29.410450730000001</v>
      </c>
      <c r="E14">
        <v>29.412215329999999</v>
      </c>
      <c r="F14" s="8"/>
      <c r="G14" s="6" t="s">
        <v>24</v>
      </c>
      <c r="H14" s="8">
        <v>38.4014043303387</v>
      </c>
      <c r="I14" s="8">
        <v>38.4014043303387</v>
      </c>
      <c r="J14">
        <v>38.401404330338799</v>
      </c>
      <c r="L14" s="21"/>
    </row>
    <row r="15" spans="1:12">
      <c r="B15" s="6" t="s">
        <v>26</v>
      </c>
      <c r="C15" s="8">
        <v>28.876734920000001</v>
      </c>
      <c r="D15" s="8">
        <v>28.876734920000001</v>
      </c>
      <c r="E15">
        <v>28.878467489999998</v>
      </c>
      <c r="F15" s="8"/>
      <c r="G15" s="6" t="s">
        <v>27</v>
      </c>
      <c r="H15" s="8">
        <v>3.68</v>
      </c>
      <c r="I15" s="9">
        <v>3.68</v>
      </c>
      <c r="J15" s="9">
        <v>3.68</v>
      </c>
      <c r="L15" s="21"/>
    </row>
    <row r="16" spans="1:12">
      <c r="B16" s="6" t="s">
        <v>32</v>
      </c>
      <c r="C16" s="8">
        <v>0.37857859999999999</v>
      </c>
      <c r="D16" s="8">
        <v>0.37857859999999999</v>
      </c>
      <c r="E16">
        <v>0.37857859999999999</v>
      </c>
      <c r="F16" s="8"/>
      <c r="G16" s="6" t="s">
        <v>30</v>
      </c>
      <c r="H16" s="8">
        <v>323.14999999999998</v>
      </c>
      <c r="I16" s="9">
        <v>323.14999999999998</v>
      </c>
      <c r="J16" s="9">
        <v>323.14999999999998</v>
      </c>
      <c r="L16" s="21"/>
    </row>
    <row r="17" spans="2:12">
      <c r="B17" s="6" t="s">
        <v>35</v>
      </c>
      <c r="C17" s="8">
        <v>0.367131002022893</v>
      </c>
      <c r="D17" s="8">
        <v>0.36713067104549402</v>
      </c>
      <c r="E17">
        <v>0.36713100198731302</v>
      </c>
      <c r="F17" s="8"/>
      <c r="G17" s="6" t="s">
        <v>33</v>
      </c>
      <c r="H17" s="8">
        <v>0.111</v>
      </c>
      <c r="I17" s="9">
        <v>0.111</v>
      </c>
      <c r="J17" s="9">
        <v>0.111</v>
      </c>
      <c r="L17" s="21"/>
    </row>
    <row r="18" spans="2:12">
      <c r="B18" s="6" t="s">
        <v>38</v>
      </c>
      <c r="C18" s="8">
        <v>0.55620327899999999</v>
      </c>
      <c r="D18" s="8">
        <v>0.55620327899999999</v>
      </c>
      <c r="E18">
        <v>0.55627002400000003</v>
      </c>
      <c r="F18" s="8"/>
      <c r="G18" s="6" t="s">
        <v>36</v>
      </c>
      <c r="H18" s="8">
        <v>313.14999999999998</v>
      </c>
      <c r="I18" s="9">
        <v>313.14999999999998</v>
      </c>
      <c r="J18" s="9">
        <v>313.14999999999998</v>
      </c>
      <c r="L18" s="21"/>
    </row>
    <row r="19" spans="2:12">
      <c r="B19" s="6" t="s">
        <v>41</v>
      </c>
      <c r="C19" s="128">
        <v>1.36826006646034E-2</v>
      </c>
      <c r="D19" s="71">
        <v>1.36826006646034E-2</v>
      </c>
      <c r="E19">
        <v>1.36842425931024E-2</v>
      </c>
      <c r="F19" s="8"/>
      <c r="G19" s="6" t="s">
        <v>39</v>
      </c>
      <c r="H19" s="8">
        <v>2.5351854169746502</v>
      </c>
      <c r="I19" s="9">
        <v>2.5351854169746502</v>
      </c>
      <c r="J19" s="9">
        <v>2.5351854169746502</v>
      </c>
      <c r="L19" s="21"/>
    </row>
    <row r="20" spans="2:12">
      <c r="B20" s="6" t="s">
        <v>44</v>
      </c>
      <c r="C20" s="8">
        <f>C19/C18</f>
        <v>2.4600000002163596E-2</v>
      </c>
      <c r="D20" s="20">
        <f>D19/D18</f>
        <v>2.4600000002163596E-2</v>
      </c>
      <c r="E20" s="20">
        <f>E19/E18</f>
        <v>2.4600000004858069E-2</v>
      </c>
      <c r="F20" s="8"/>
      <c r="G20" s="6" t="s">
        <v>42</v>
      </c>
      <c r="H20" s="8">
        <v>1.7472859567054599</v>
      </c>
      <c r="I20" s="8">
        <v>1.7472859567054599</v>
      </c>
      <c r="J20" s="9">
        <v>1.7472859567054599</v>
      </c>
      <c r="L20" s="21"/>
    </row>
    <row r="21" spans="2:12" ht="15.75" thickBot="1">
      <c r="B21" s="10" t="s">
        <v>48</v>
      </c>
      <c r="C21" s="14">
        <f>ABS(C16-C17)/C16</f>
        <v>3.0238365235401535E-2</v>
      </c>
      <c r="D21" s="15">
        <f>ABS(D16-D17)/D16</f>
        <v>3.023923949876187E-2</v>
      </c>
      <c r="E21" s="15">
        <f>ABS(E16-E17)/E16</f>
        <v>3.0238365329384613E-2</v>
      </c>
      <c r="F21" s="8"/>
      <c r="G21" s="6" t="s">
        <v>45</v>
      </c>
      <c r="H21" s="8">
        <v>0.4512702379996899</v>
      </c>
      <c r="I21" s="9">
        <v>0.4512702379996899</v>
      </c>
      <c r="J21" s="9">
        <v>0.4512702379996899</v>
      </c>
      <c r="L21" s="21"/>
    </row>
    <row r="22" spans="2:12" ht="15.75" thickTop="1">
      <c r="F22" s="8"/>
      <c r="G22" s="6" t="s">
        <v>49</v>
      </c>
      <c r="H22" s="8">
        <v>0.21650249893157095</v>
      </c>
      <c r="I22" s="9">
        <v>0.21650249893157095</v>
      </c>
      <c r="J22" s="9">
        <v>0.21650249893157095</v>
      </c>
      <c r="L22" s="21"/>
    </row>
    <row r="23" spans="2:12" ht="18">
      <c r="C23" s="8"/>
      <c r="D23" s="29"/>
      <c r="G23" s="6" t="s">
        <v>50</v>
      </c>
      <c r="H23" s="8">
        <f>H19/(H19-H21)</f>
        <v>1.2165492350901064</v>
      </c>
      <c r="I23" s="9">
        <f t="shared" ref="I23" si="0">I19/(I19-I21)</f>
        <v>1.2165492350901064</v>
      </c>
      <c r="J23" s="8">
        <f>J19/(J19-J21)</f>
        <v>1.2165492350901064</v>
      </c>
    </row>
    <row r="24" spans="2:12" ht="18.75" thickBot="1">
      <c r="C24" s="8"/>
      <c r="D24" s="8">
        <f>C16/H17</f>
        <v>3.4106180180180177</v>
      </c>
      <c r="G24" s="16" t="s">
        <v>52</v>
      </c>
      <c r="H24" s="17">
        <f>H20/(H20-H22)</f>
        <v>1.1414324787951493</v>
      </c>
      <c r="I24" s="18">
        <f>I20/(I20-I22)</f>
        <v>1.1414324787951493</v>
      </c>
      <c r="J24" s="18">
        <f>J20/(J20-J22)</f>
        <v>1.1414324787951493</v>
      </c>
    </row>
    <row r="25" spans="2:12" ht="15.75" thickTop="1">
      <c r="C25" s="8">
        <f>C18*3</f>
        <v>1.668609837</v>
      </c>
      <c r="D25" s="8"/>
    </row>
    <row r="26" spans="2:12">
      <c r="C26" s="30"/>
      <c r="D26" s="71">
        <f>C19*3</f>
        <v>4.1047801993810196E-2</v>
      </c>
    </row>
    <row r="27" spans="2:12">
      <c r="D27" s="70">
        <f>D26/C25</f>
        <v>2.4600000002163596E-2</v>
      </c>
    </row>
    <row r="38" spans="1:5">
      <c r="B38" s="57"/>
      <c r="C38" s="57"/>
      <c r="D38" s="57"/>
      <c r="E38" s="57"/>
    </row>
    <row r="39" spans="1:5" s="57" customFormat="1">
      <c r="A39" s="57" t="s">
        <v>53</v>
      </c>
      <c r="B39"/>
      <c r="C39"/>
      <c r="D39"/>
      <c r="E39"/>
    </row>
    <row r="40" spans="1:5">
      <c r="A40" t="s">
        <v>54</v>
      </c>
    </row>
  </sheetData>
  <mergeCells count="3">
    <mergeCell ref="B11:D11"/>
    <mergeCell ref="G11:I11"/>
    <mergeCell ref="A1:G8"/>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E46AC-ED5C-474C-A27A-95501E516AE1}">
  <sheetPr codeName="Hoja6"/>
  <dimension ref="A1:M39"/>
  <sheetViews>
    <sheetView showGridLines="0" topLeftCell="E14" zoomScale="80" zoomScaleNormal="80" workbookViewId="0">
      <selection activeCell="F26" sqref="F26"/>
    </sheetView>
  </sheetViews>
  <sheetFormatPr defaultColWidth="11.42578125" defaultRowHeight="15"/>
  <cols>
    <col min="3" max="3" width="19.5703125" bestFit="1" customWidth="1"/>
    <col min="4" max="4" width="19.28515625" bestFit="1" customWidth="1"/>
    <col min="5" max="5" width="29.85546875" bestFit="1" customWidth="1"/>
    <col min="6" max="6" width="26.140625" bestFit="1" customWidth="1"/>
    <col min="7" max="7" width="26.7109375" bestFit="1" customWidth="1"/>
    <col min="8" max="8" width="23.7109375" bestFit="1" customWidth="1"/>
    <col min="9" max="10" width="19.7109375" bestFit="1" customWidth="1"/>
    <col min="11" max="12" width="18.85546875" bestFit="1" customWidth="1"/>
    <col min="13" max="13" width="19.28515625" bestFit="1" customWidth="1"/>
  </cols>
  <sheetData>
    <row r="1" spans="1:13">
      <c r="A1" s="132" t="s">
        <v>110</v>
      </c>
      <c r="B1" s="133"/>
      <c r="C1" s="133"/>
      <c r="D1" s="133"/>
      <c r="E1" s="133"/>
      <c r="F1" s="133"/>
      <c r="G1" s="133"/>
    </row>
    <row r="2" spans="1:13">
      <c r="A2" s="133"/>
      <c r="B2" s="133"/>
      <c r="C2" s="133"/>
      <c r="D2" s="133"/>
      <c r="E2" s="133"/>
      <c r="F2" s="133"/>
      <c r="G2" s="133"/>
    </row>
    <row r="3" spans="1:13">
      <c r="A3" s="133"/>
      <c r="B3" s="133"/>
      <c r="C3" s="133"/>
      <c r="D3" s="133"/>
      <c r="E3" s="133"/>
      <c r="F3" s="133"/>
      <c r="G3" s="133"/>
    </row>
    <row r="4" spans="1:13">
      <c r="A4" s="133"/>
      <c r="B4" s="133"/>
      <c r="C4" s="133"/>
      <c r="D4" s="133"/>
      <c r="E4" s="133"/>
      <c r="F4" s="133"/>
      <c r="G4" s="133"/>
    </row>
    <row r="5" spans="1:13">
      <c r="A5" s="133"/>
      <c r="B5" s="133"/>
      <c r="C5" s="133"/>
      <c r="D5" s="133"/>
      <c r="E5" s="133"/>
      <c r="F5" s="133"/>
      <c r="G5" s="133"/>
    </row>
    <row r="6" spans="1:13">
      <c r="A6" s="133"/>
      <c r="B6" s="133"/>
      <c r="C6" s="133"/>
      <c r="D6" s="133"/>
      <c r="E6" s="133"/>
      <c r="F6" s="133"/>
      <c r="G6" s="133"/>
    </row>
    <row r="7" spans="1:13">
      <c r="A7" s="133"/>
      <c r="B7" s="133"/>
      <c r="C7" s="133"/>
      <c r="D7" s="133"/>
      <c r="E7" s="133"/>
      <c r="F7" s="133"/>
      <c r="G7" s="133"/>
    </row>
    <row r="8" spans="1:13">
      <c r="A8" s="133"/>
      <c r="B8" s="133"/>
      <c r="C8" s="133"/>
      <c r="D8" s="133"/>
      <c r="E8" s="133"/>
      <c r="F8" s="133"/>
      <c r="G8" s="133"/>
    </row>
    <row r="10" spans="1:13" ht="15.75" thickBot="1"/>
    <row r="11" spans="1:13" ht="17.25" thickTop="1" thickBot="1">
      <c r="B11" s="3" t="s">
        <v>66</v>
      </c>
      <c r="C11" s="4" t="s">
        <v>67</v>
      </c>
      <c r="D11" s="3" t="s">
        <v>68</v>
      </c>
      <c r="E11" s="5" t="s">
        <v>69</v>
      </c>
      <c r="F11" s="3" t="s">
        <v>70</v>
      </c>
      <c r="H11" s="1" t="s">
        <v>112</v>
      </c>
      <c r="I11" s="2">
        <f>'Caso 1'!I17/'Caso 1'!H17</f>
        <v>1</v>
      </c>
    </row>
    <row r="12" spans="1:13" ht="17.25" thickTop="1" thickBot="1">
      <c r="B12" s="13" t="s">
        <v>71</v>
      </c>
      <c r="C12" s="4">
        <v>1</v>
      </c>
      <c r="D12" s="5">
        <v>0.1</v>
      </c>
      <c r="E12" s="5">
        <f>SQRT(D12*E13)</f>
        <v>0.23021728866442678</v>
      </c>
      <c r="F12" s="7">
        <f>E12/D12</f>
        <v>2.3021728866442679</v>
      </c>
      <c r="H12" s="1" t="s">
        <v>114</v>
      </c>
      <c r="I12" s="2" t="e">
        <f>#REF!/'Caso 1'!I17</f>
        <v>#REF!</v>
      </c>
    </row>
    <row r="13" spans="1:13" ht="17.25" thickTop="1" thickBot="1">
      <c r="B13" s="13" t="s">
        <v>72</v>
      </c>
      <c r="C13" s="10">
        <v>2</v>
      </c>
      <c r="D13" s="11">
        <f>E12</f>
        <v>0.23021728866442678</v>
      </c>
      <c r="E13" s="11">
        <v>0.53</v>
      </c>
      <c r="F13" s="12">
        <f>E13/D13</f>
        <v>2.3021728866442674</v>
      </c>
      <c r="H13" s="1" t="s">
        <v>115</v>
      </c>
      <c r="I13" s="2" t="e">
        <f>0.4128/#REF!</f>
        <v>#REF!</v>
      </c>
      <c r="L13">
        <v>21038.7411072</v>
      </c>
    </row>
    <row r="14" spans="1:13" ht="15.75" thickTop="1">
      <c r="B14" s="13" t="s">
        <v>73</v>
      </c>
    </row>
    <row r="15" spans="1:13">
      <c r="B15" s="8"/>
      <c r="C15" s="8"/>
      <c r="D15" s="8"/>
      <c r="E15" s="8"/>
      <c r="F15" s="8"/>
      <c r="I15" t="s">
        <v>117</v>
      </c>
      <c r="J15">
        <v>5.8440947520000002</v>
      </c>
      <c r="L15" t="s">
        <v>85</v>
      </c>
      <c r="M15">
        <v>4.9399999999999999E-2</v>
      </c>
    </row>
    <row r="16" spans="1:13">
      <c r="I16" t="s">
        <v>96</v>
      </c>
      <c r="J16">
        <f>C26*F17</f>
        <v>4.1044107654687301E-2</v>
      </c>
      <c r="L16" t="s">
        <v>48</v>
      </c>
      <c r="M16" s="72">
        <f>ABS(M15-J17)/M15</f>
        <v>0.85783043962634375</v>
      </c>
    </row>
    <row r="17" spans="2:10" ht="15.75" thickBot="1">
      <c r="E17" t="s">
        <v>118</v>
      </c>
      <c r="F17">
        <v>3</v>
      </c>
      <c r="I17" s="57" t="s">
        <v>119</v>
      </c>
      <c r="J17" s="57">
        <f>J16/J15</f>
        <v>7.0231762824586215E-3</v>
      </c>
    </row>
    <row r="18" spans="2:10" ht="16.5" thickTop="1" thickBot="1">
      <c r="B18" s="134" t="s">
        <v>88</v>
      </c>
      <c r="C18" s="135"/>
      <c r="D18" s="136"/>
    </row>
    <row r="19" spans="2:10" ht="16.5" thickTop="1" thickBot="1">
      <c r="B19" s="6" t="s">
        <v>13</v>
      </c>
      <c r="C19" s="1" t="s">
        <v>145</v>
      </c>
      <c r="D19" s="1" t="s">
        <v>143</v>
      </c>
      <c r="E19" s="1" t="s">
        <v>146</v>
      </c>
      <c r="F19" s="67" t="s">
        <v>147</v>
      </c>
      <c r="G19" s="1" t="s">
        <v>148</v>
      </c>
      <c r="H19" s="67" t="s">
        <v>147</v>
      </c>
    </row>
    <row r="20" spans="2:10" ht="15.75" thickTop="1">
      <c r="B20" s="4" t="s">
        <v>20</v>
      </c>
      <c r="C20" s="5">
        <v>4.0374961100000002</v>
      </c>
      <c r="D20">
        <v>4.03810175</v>
      </c>
      <c r="E20" s="7">
        <v>9.9095259000000002</v>
      </c>
      <c r="F20" s="8">
        <v>14.500162599999999</v>
      </c>
      <c r="G20" s="8">
        <v>9.9110122339999993</v>
      </c>
      <c r="H20" s="8">
        <v>14.50233749</v>
      </c>
    </row>
    <row r="21" spans="2:10">
      <c r="B21" s="6" t="s">
        <v>23</v>
      </c>
      <c r="C21" s="8">
        <v>11.15798438</v>
      </c>
      <c r="D21">
        <v>11.15965812</v>
      </c>
      <c r="E21" s="9">
        <v>20.553902260000001</v>
      </c>
      <c r="F21" s="8">
        <v>30.075598759999998</v>
      </c>
      <c r="G21" s="8">
        <v>20.556979980000001</v>
      </c>
      <c r="H21" s="8">
        <v>30.080102249999999</v>
      </c>
    </row>
    <row r="22" spans="2:10">
      <c r="B22" s="6" t="s">
        <v>26</v>
      </c>
      <c r="C22" s="8">
        <v>13.576166069999999</v>
      </c>
      <c r="D22">
        <v>13.57820255</v>
      </c>
      <c r="E22" s="9">
        <v>25.624563949999999</v>
      </c>
      <c r="F22" s="8">
        <v>32.912911639999997</v>
      </c>
      <c r="G22" s="8">
        <v>25.628399779999999</v>
      </c>
      <c r="H22" s="8">
        <v>32.917839059999999</v>
      </c>
    </row>
    <row r="23" spans="2:10">
      <c r="B23" s="6" t="s">
        <v>32</v>
      </c>
      <c r="C23" s="43">
        <v>0.2303171</v>
      </c>
      <c r="D23">
        <v>0.2303171</v>
      </c>
      <c r="E23" s="23">
        <v>0.53009629999999996</v>
      </c>
      <c r="F23" s="8">
        <v>0.53009910000000005</v>
      </c>
      <c r="G23" s="8">
        <v>0.53009669999999998</v>
      </c>
      <c r="H23" s="8">
        <v>0.5300994</v>
      </c>
    </row>
    <row r="24" spans="2:10">
      <c r="B24" s="6" t="s">
        <v>35</v>
      </c>
      <c r="C24" s="43">
        <v>0.22625125047609501</v>
      </c>
      <c r="D24">
        <v>0.226251410929626</v>
      </c>
      <c r="E24" s="9">
        <v>0.42236018359747601</v>
      </c>
      <c r="F24">
        <v>0.530877268660501</v>
      </c>
      <c r="G24" s="8">
        <v>0.42236038517445001</v>
      </c>
      <c r="H24" s="8">
        <v>0.53087751601608102</v>
      </c>
    </row>
    <row r="25" spans="2:10">
      <c r="B25" s="6" t="s">
        <v>38</v>
      </c>
      <c r="C25" s="8">
        <v>7.4133671999999998E-2</v>
      </c>
      <c r="D25">
        <v>7.4155915000000003E-2</v>
      </c>
      <c r="E25" s="9">
        <v>0.44657770099999999</v>
      </c>
      <c r="F25" s="8">
        <v>0.95617420799999997</v>
      </c>
      <c r="G25" s="8">
        <v>0.446711676</v>
      </c>
      <c r="H25" s="8">
        <v>0.956461063</v>
      </c>
    </row>
    <row r="26" spans="2:10">
      <c r="B26" s="6" t="s">
        <v>41</v>
      </c>
      <c r="C26" s="8">
        <v>1.36813692182291E-2</v>
      </c>
      <c r="D26" s="8">
        <v>1.36813692182291E-2</v>
      </c>
      <c r="E26" s="19">
        <v>8.7815039218229099E-2</v>
      </c>
      <c r="F26" s="23">
        <v>8.7815039218229099E-2</v>
      </c>
      <c r="G26" s="19">
        <v>8.7841384039476694E-2</v>
      </c>
      <c r="H26" s="19">
        <v>8.7841384039476694E-2</v>
      </c>
    </row>
    <row r="27" spans="2:10">
      <c r="B27" s="6" t="s">
        <v>44</v>
      </c>
      <c r="C27" s="8">
        <f t="shared" ref="C27:H27" si="0">C26/C25</f>
        <v>0.18455000068294339</v>
      </c>
      <c r="D27" s="8">
        <f t="shared" si="0"/>
        <v>0.18449464507624375</v>
      </c>
      <c r="E27" s="36">
        <f>E26/E25</f>
        <v>0.19664000020956957</v>
      </c>
      <c r="F27" s="36">
        <f>F26/F25</f>
        <v>9.1839999953469878E-2</v>
      </c>
      <c r="G27" s="36">
        <f t="shared" si="0"/>
        <v>0.19664000015857364</v>
      </c>
      <c r="H27" s="36">
        <f t="shared" si="0"/>
        <v>9.1840000014173806E-2</v>
      </c>
    </row>
    <row r="28" spans="2:10" ht="15.75" thickBot="1">
      <c r="B28" s="10" t="s">
        <v>48</v>
      </c>
      <c r="C28" s="14">
        <f t="shared" ref="C28:H28" si="1">ABS(C23-C24)/C23</f>
        <v>1.765326814164031E-2</v>
      </c>
      <c r="D28" s="14">
        <f t="shared" si="1"/>
        <v>1.765257147807955E-2</v>
      </c>
      <c r="E28" s="15">
        <f t="shared" si="1"/>
        <v>0.20323876322570816</v>
      </c>
      <c r="F28" s="15">
        <f t="shared" si="1"/>
        <v>1.4679682732925885E-3</v>
      </c>
      <c r="G28" s="15">
        <f t="shared" si="1"/>
        <v>0.2032389841807164</v>
      </c>
      <c r="H28" s="15">
        <f t="shared" si="1"/>
        <v>1.4678681320541408E-3</v>
      </c>
    </row>
    <row r="29" spans="2:10" ht="15.75" thickTop="1">
      <c r="C29">
        <v>0.73958766300000001</v>
      </c>
      <c r="D29" s="75">
        <v>0.73958766300000001</v>
      </c>
      <c r="E29">
        <v>0.82025146100000002</v>
      </c>
      <c r="F29" s="35">
        <f>ABS(E29-0.785)/E29</f>
        <v>4.2976407450739038E-2</v>
      </c>
      <c r="G29" s="74">
        <v>0.82025153100000003</v>
      </c>
      <c r="H29" s="35">
        <f>ABS(E29-0.785)/E29</f>
        <v>4.2976407450739038E-2</v>
      </c>
    </row>
    <row r="31" spans="2:10">
      <c r="C31" s="57">
        <f>C24/0.1</f>
        <v>2.26251250476095</v>
      </c>
      <c r="D31" s="57">
        <f>D24/0.1</f>
        <v>2.26251410929626</v>
      </c>
      <c r="E31">
        <f>E24/C24</f>
        <v>1.8667750242648991</v>
      </c>
      <c r="F31" s="57">
        <f>F24/C24</f>
        <v>2.3464058985017271</v>
      </c>
      <c r="G31">
        <f>G24/D24</f>
        <v>1.8667745913232001</v>
      </c>
      <c r="H31" s="57">
        <f>H24/D24</f>
        <v>2.3464053277493457</v>
      </c>
      <c r="I31">
        <f>C26*3/(C25*2+D25+F25*2+H25)</f>
        <v>1.3277585718519037E-2</v>
      </c>
    </row>
    <row r="33" spans="3:10">
      <c r="C33">
        <f>C25*2+D25+F25*2+H25</f>
        <v>3.091232738</v>
      </c>
      <c r="E33" s="73">
        <f>C26*2+D26</f>
        <v>4.1044107654687301E-2</v>
      </c>
      <c r="F33" s="35">
        <f>AVERAGE(C28,H28)</f>
        <v>9.5605681368472265E-3</v>
      </c>
    </row>
    <row r="34" spans="3:10">
      <c r="E34" s="122">
        <v>1</v>
      </c>
    </row>
    <row r="35" spans="3:10" ht="15.75" thickBot="1"/>
    <row r="36" spans="3:10" ht="20.25" thickTop="1" thickBot="1">
      <c r="D36" s="89" t="s">
        <v>55</v>
      </c>
      <c r="E36" s="90" t="s">
        <v>56</v>
      </c>
      <c r="F36" s="90" t="s">
        <v>57</v>
      </c>
      <c r="G36" s="90" t="s">
        <v>59</v>
      </c>
      <c r="H36" s="90" t="s">
        <v>149</v>
      </c>
      <c r="I36" s="90" t="s">
        <v>150</v>
      </c>
      <c r="J36" s="91" t="s">
        <v>61</v>
      </c>
    </row>
    <row r="37" spans="3:10" ht="17.25" thickTop="1" thickBot="1">
      <c r="C37" s="89" t="s">
        <v>151</v>
      </c>
      <c r="D37" s="100">
        <v>2</v>
      </c>
      <c r="E37" s="102">
        <v>2</v>
      </c>
      <c r="F37" s="108" t="str">
        <f>"4-38"</f>
        <v>4-38</v>
      </c>
      <c r="G37" s="101">
        <v>2.6100000000000002E-2</v>
      </c>
      <c r="H37" s="112">
        <v>3.44E-2</v>
      </c>
      <c r="I37" s="109">
        <v>1.5557456477099982E-2</v>
      </c>
      <c r="J37" s="110">
        <f>ABS(0.0471-I37)/0.0471</f>
        <v>0.66969306842675203</v>
      </c>
    </row>
    <row r="38" spans="3:10" ht="17.25" thickTop="1" thickBot="1">
      <c r="C38" s="92" t="s">
        <v>152</v>
      </c>
      <c r="D38" s="104">
        <v>3</v>
      </c>
      <c r="E38" s="98">
        <v>2</v>
      </c>
      <c r="F38" s="105" t="str">
        <f>"4-33"</f>
        <v>4-33</v>
      </c>
      <c r="G38" s="97">
        <v>9.5999999999999992E-3</v>
      </c>
      <c r="H38" s="113">
        <v>4.2999999999999997E-2</v>
      </c>
      <c r="I38" s="106">
        <v>1.3277585718519037E-2</v>
      </c>
      <c r="J38" s="111">
        <f>ABS(0.0407-I38)/0.0407</f>
        <v>0.67376939266537994</v>
      </c>
    </row>
    <row r="39" spans="3:10" ht="15.75" thickTop="1"/>
  </sheetData>
  <mergeCells count="2">
    <mergeCell ref="A1:G8"/>
    <mergeCell ref="B18: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5C92-50D7-4F35-B318-552EE1048AEB}">
  <sheetPr codeName="Hoja7"/>
  <dimension ref="A1:M42"/>
  <sheetViews>
    <sheetView showGridLines="0" topLeftCell="D12" zoomScale="80" zoomScaleNormal="80" workbookViewId="0">
      <selection activeCell="H26" sqref="H26"/>
    </sheetView>
  </sheetViews>
  <sheetFormatPr defaultColWidth="11.42578125" defaultRowHeight="15"/>
  <cols>
    <col min="3" max="3" width="13.28515625" bestFit="1" customWidth="1"/>
    <col min="4" max="4" width="26.140625" bestFit="1" customWidth="1"/>
    <col min="5" max="5" width="19.28515625" bestFit="1" customWidth="1"/>
    <col min="6" max="6" width="19.85546875" bestFit="1" customWidth="1"/>
    <col min="7" max="7" width="19.28515625" bestFit="1" customWidth="1"/>
    <col min="8" max="8" width="19.85546875" bestFit="1" customWidth="1"/>
    <col min="9" max="9" width="15.42578125" bestFit="1" customWidth="1"/>
    <col min="10" max="12" width="18.85546875" bestFit="1" customWidth="1"/>
    <col min="13" max="13" width="19.28515625" bestFit="1" customWidth="1"/>
  </cols>
  <sheetData>
    <row r="1" spans="1:13">
      <c r="A1" s="132" t="s">
        <v>110</v>
      </c>
      <c r="B1" s="133"/>
      <c r="C1" s="133"/>
      <c r="D1" s="133"/>
      <c r="E1" s="133"/>
      <c r="F1" s="133"/>
      <c r="G1" s="133"/>
    </row>
    <row r="2" spans="1:13">
      <c r="A2" s="133"/>
      <c r="B2" s="133"/>
      <c r="C2" s="133"/>
      <c r="D2" s="133"/>
      <c r="E2" s="133"/>
      <c r="F2" s="133"/>
      <c r="G2" s="133"/>
    </row>
    <row r="3" spans="1:13">
      <c r="A3" s="133"/>
      <c r="B3" s="133"/>
      <c r="C3" s="133"/>
      <c r="D3" s="133"/>
      <c r="E3" s="133"/>
      <c r="F3" s="133"/>
      <c r="G3" s="133"/>
    </row>
    <row r="4" spans="1:13">
      <c r="A4" s="133"/>
      <c r="B4" s="133"/>
      <c r="C4" s="133"/>
      <c r="D4" s="133"/>
      <c r="E4" s="133"/>
      <c r="F4" s="133"/>
      <c r="G4" s="133"/>
    </row>
    <row r="5" spans="1:13">
      <c r="A5" s="133"/>
      <c r="B5" s="133"/>
      <c r="C5" s="133"/>
      <c r="D5" s="133"/>
      <c r="E5" s="133"/>
      <c r="F5" s="133"/>
      <c r="G5" s="133"/>
    </row>
    <row r="6" spans="1:13">
      <c r="A6" s="133"/>
      <c r="B6" s="133"/>
      <c r="C6" s="133"/>
      <c r="D6" s="133"/>
      <c r="E6" s="133"/>
      <c r="F6" s="133"/>
      <c r="G6" s="133"/>
    </row>
    <row r="7" spans="1:13">
      <c r="A7" s="133"/>
      <c r="B7" s="133"/>
      <c r="C7" s="133"/>
      <c r="D7" s="133"/>
      <c r="E7" s="133"/>
      <c r="F7" s="133"/>
      <c r="G7" s="133"/>
    </row>
    <row r="8" spans="1:13">
      <c r="A8" s="133"/>
      <c r="B8" s="133"/>
      <c r="C8" s="133"/>
      <c r="D8" s="133"/>
      <c r="E8" s="133"/>
      <c r="F8" s="133"/>
      <c r="G8" s="133"/>
    </row>
    <row r="10" spans="1:13" ht="15.75" thickBot="1"/>
    <row r="11" spans="1:13" ht="17.25" thickTop="1" thickBot="1">
      <c r="B11" s="134" t="s">
        <v>111</v>
      </c>
      <c r="C11" s="135"/>
      <c r="D11" s="135"/>
      <c r="E11" s="135"/>
      <c r="F11" s="136"/>
      <c r="H11" s="1" t="s">
        <v>112</v>
      </c>
      <c r="I11" s="2">
        <f>'Caso 1'!I17/'Caso 1'!H17</f>
        <v>1</v>
      </c>
    </row>
    <row r="12" spans="1:13" ht="17.25" thickTop="1" thickBot="1">
      <c r="B12" s="3" t="s">
        <v>113</v>
      </c>
      <c r="C12" s="4" t="s">
        <v>67</v>
      </c>
      <c r="D12" s="3" t="s">
        <v>68</v>
      </c>
      <c r="E12" s="5" t="s">
        <v>69</v>
      </c>
      <c r="F12" s="3" t="s">
        <v>70</v>
      </c>
      <c r="H12" s="1" t="s">
        <v>114</v>
      </c>
      <c r="I12" s="2" t="e">
        <f>#REF!/'Caso 1'!I17</f>
        <v>#REF!</v>
      </c>
    </row>
    <row r="13" spans="1:13" ht="17.25" thickTop="1" thickBot="1">
      <c r="B13" s="6" t="s">
        <v>71</v>
      </c>
      <c r="C13" s="4">
        <v>1</v>
      </c>
      <c r="D13" s="5">
        <v>0.1</v>
      </c>
      <c r="E13" s="5">
        <f>(E15*D13*D13)^(1/3)</f>
        <v>0.1743513401265129</v>
      </c>
      <c r="F13" s="7">
        <f>E13/D13</f>
        <v>1.743513401265129</v>
      </c>
      <c r="H13" s="1" t="s">
        <v>115</v>
      </c>
      <c r="I13" s="2" t="e">
        <f>0.4128/#REF!</f>
        <v>#REF!</v>
      </c>
      <c r="L13">
        <v>21038.7411072</v>
      </c>
    </row>
    <row r="14" spans="1:13" ht="15.75" thickTop="1">
      <c r="B14" s="6" t="s">
        <v>72</v>
      </c>
      <c r="C14" s="6">
        <v>2</v>
      </c>
      <c r="D14" s="8">
        <f>E13</f>
        <v>0.1743513401265129</v>
      </c>
      <c r="E14" s="8">
        <f>E13^2/D13</f>
        <v>0.30398389803910986</v>
      </c>
      <c r="F14" s="9">
        <f>E14/D14</f>
        <v>1.7435134012651288</v>
      </c>
    </row>
    <row r="15" spans="1:13" ht="15.75" thickBot="1">
      <c r="B15" s="10" t="s">
        <v>116</v>
      </c>
      <c r="C15" s="10">
        <v>3</v>
      </c>
      <c r="D15" s="11">
        <f>E14</f>
        <v>0.30398389803910986</v>
      </c>
      <c r="E15" s="11">
        <v>0.53</v>
      </c>
      <c r="F15" s="12">
        <f>E15/D15</f>
        <v>1.743513401265127</v>
      </c>
      <c r="I15" t="s">
        <v>117</v>
      </c>
      <c r="J15">
        <f>$F$17*(D25+F25+H25)</f>
        <v>5.6667510396779832</v>
      </c>
      <c r="L15" t="s">
        <v>85</v>
      </c>
      <c r="M15">
        <v>4.9399999999999999E-2</v>
      </c>
    </row>
    <row r="16" spans="1:13" ht="15.75" thickTop="1">
      <c r="I16" t="s">
        <v>96</v>
      </c>
      <c r="J16">
        <f>C26*F17</f>
        <v>4.1048211000000001E-2</v>
      </c>
      <c r="L16" t="s">
        <v>48</v>
      </c>
      <c r="M16" s="72">
        <f>ABS(M15-J17)/M15</f>
        <v>0.85336651645254769</v>
      </c>
    </row>
    <row r="17" spans="2:10" ht="15.75" thickBot="1">
      <c r="E17" s="76" t="s">
        <v>118</v>
      </c>
      <c r="F17" s="76">
        <v>3</v>
      </c>
      <c r="I17" s="57" t="s">
        <v>119</v>
      </c>
      <c r="J17" s="57">
        <f>J16/J15</f>
        <v>7.2436940872441418E-3</v>
      </c>
    </row>
    <row r="18" spans="2:10" ht="16.5" thickTop="1" thickBot="1">
      <c r="B18" s="134" t="s">
        <v>88</v>
      </c>
      <c r="C18" s="135"/>
      <c r="D18" s="136"/>
    </row>
    <row r="19" spans="2:10" ht="16.5" thickTop="1" thickBot="1">
      <c r="B19" s="6" t="s">
        <v>13</v>
      </c>
      <c r="C19" s="1" t="s">
        <v>17</v>
      </c>
      <c r="D19" s="67" t="s">
        <v>120</v>
      </c>
      <c r="E19" s="1" t="s">
        <v>76</v>
      </c>
      <c r="F19" s="67" t="s">
        <v>153</v>
      </c>
      <c r="G19" s="13" t="s">
        <v>124</v>
      </c>
      <c r="H19" s="68" t="s">
        <v>154</v>
      </c>
    </row>
    <row r="20" spans="2:10" ht="15.75" thickTop="1">
      <c r="B20" s="4" t="s">
        <v>20</v>
      </c>
      <c r="C20" s="5">
        <v>3.0493461405375015</v>
      </c>
      <c r="D20">
        <v>3.3131136359716726</v>
      </c>
      <c r="E20" s="7">
        <v>6.2230933155364472</v>
      </c>
      <c r="F20" s="8">
        <v>7.8927786721645807</v>
      </c>
      <c r="G20" s="8">
        <v>13.311833393363376</v>
      </c>
      <c r="H20" s="8">
        <v>18.495523360516628</v>
      </c>
    </row>
    <row r="21" spans="2:10">
      <c r="B21" s="6" t="s">
        <v>23</v>
      </c>
      <c r="C21" s="8">
        <v>8.4271428841881484</v>
      </c>
      <c r="D21">
        <v>9.1560881300815531</v>
      </c>
      <c r="E21" s="9">
        <v>14.154807860621593</v>
      </c>
      <c r="F21" s="8">
        <v>17.952609727381379</v>
      </c>
      <c r="G21" s="8">
        <v>24.867549382448026</v>
      </c>
      <c r="H21" s="8">
        <v>34.551089014618448</v>
      </c>
    </row>
    <row r="22" spans="2:10">
      <c r="B22" s="6" t="s">
        <v>26</v>
      </c>
      <c r="C22" s="8">
        <v>11.698701703199525</v>
      </c>
      <c r="D22">
        <v>12.175107596243674</v>
      </c>
      <c r="E22" s="9">
        <v>20.944585304454755</v>
      </c>
      <c r="F22" s="8">
        <v>23.381604144688179</v>
      </c>
      <c r="G22" s="8">
        <v>37.396837085987052</v>
      </c>
      <c r="H22" s="8">
        <v>43.669625060462366</v>
      </c>
    </row>
    <row r="23" spans="2:10">
      <c r="B23" s="6" t="s">
        <v>32</v>
      </c>
      <c r="C23" s="77">
        <v>0.17444819007603396</v>
      </c>
      <c r="D23">
        <v>0.17445040000000001</v>
      </c>
      <c r="E23" s="23">
        <v>0.30408177938562059</v>
      </c>
      <c r="F23" s="8">
        <v>0.30408280299571577</v>
      </c>
      <c r="G23" s="8">
        <v>0.53009720000000005</v>
      </c>
      <c r="H23" s="8">
        <v>0.53009861505104627</v>
      </c>
    </row>
    <row r="24" spans="2:10">
      <c r="B24" s="6" t="s">
        <v>35</v>
      </c>
      <c r="C24" s="43" t="s">
        <v>129</v>
      </c>
      <c r="D24">
        <v>0.17456200621933399</v>
      </c>
      <c r="E24" s="9" t="s">
        <v>129</v>
      </c>
      <c r="F24">
        <v>0.30373796954347498</v>
      </c>
      <c r="G24" s="8">
        <v>0.34748868074827399</v>
      </c>
      <c r="H24" s="8">
        <v>0.52849999999999997</v>
      </c>
    </row>
    <row r="25" spans="2:10">
      <c r="B25" s="6" t="s">
        <v>38</v>
      </c>
      <c r="C25" s="8">
        <v>4.2286791111636857E-2</v>
      </c>
      <c r="D25">
        <v>4.9918777818290495E-2</v>
      </c>
      <c r="E25" s="9">
        <v>0.17611806551646444</v>
      </c>
      <c r="F25" s="8">
        <v>0.28330297104666213</v>
      </c>
      <c r="G25" s="8">
        <v>0.80587378214455074</v>
      </c>
      <c r="H25" s="8">
        <v>1.5556952643610416</v>
      </c>
    </row>
    <row r="26" spans="2:10">
      <c r="B26" s="6" t="s">
        <v>41</v>
      </c>
      <c r="C26" s="71">
        <v>1.3682737E-2</v>
      </c>
      <c r="D26" s="77">
        <v>1.3682737E-2</v>
      </c>
      <c r="E26" s="19">
        <v>6.3601516999999996E-2</v>
      </c>
      <c r="F26" s="23">
        <v>6.3601516999999996E-2</v>
      </c>
      <c r="G26" s="71">
        <v>0.34690448699999998</v>
      </c>
      <c r="H26" s="127">
        <v>0.34690448699999998</v>
      </c>
    </row>
    <row r="27" spans="2:10">
      <c r="B27" s="6" t="s">
        <v>44</v>
      </c>
      <c r="C27" s="8">
        <f t="shared" ref="C27:H27" si="0">C26/C25</f>
        <v>0.32357000000018121</v>
      </c>
      <c r="D27" s="8">
        <f t="shared" si="0"/>
        <v>0.27410000000013174</v>
      </c>
      <c r="E27" s="36">
        <f t="shared" si="0"/>
        <v>0.36113000000022255</v>
      </c>
      <c r="F27" s="36">
        <f t="shared" si="0"/>
        <v>0.22450000000008594</v>
      </c>
      <c r="G27" s="36">
        <f t="shared" si="0"/>
        <v>0.4304700000002919</v>
      </c>
      <c r="H27" s="36">
        <f t="shared" si="0"/>
        <v>0.22299000000008443</v>
      </c>
    </row>
    <row r="28" spans="2:10" ht="15.75" thickBot="1">
      <c r="B28" s="10" t="s">
        <v>48</v>
      </c>
      <c r="C28" s="14" t="e">
        <f t="shared" ref="C28:H28" si="1">ABS(C23-C24)/C23</f>
        <v>#VALUE!</v>
      </c>
      <c r="D28" s="14">
        <f t="shared" si="1"/>
        <v>6.397590337080439E-4</v>
      </c>
      <c r="E28" s="15" t="e">
        <f t="shared" si="1"/>
        <v>#VALUE!</v>
      </c>
      <c r="F28" s="15">
        <f t="shared" si="1"/>
        <v>1.1340116864341308E-3</v>
      </c>
      <c r="G28" s="15">
        <f t="shared" si="1"/>
        <v>0.34448119939461297</v>
      </c>
      <c r="H28" s="15">
        <f t="shared" si="1"/>
        <v>3.0156936948276384E-3</v>
      </c>
    </row>
    <row r="29" spans="2:10" ht="15.75" thickTop="1">
      <c r="C29">
        <v>0.68001597699740701</v>
      </c>
      <c r="D29" s="35">
        <f>ABS(C29-0.669)/C29</f>
        <v>1.619958555392733E-2</v>
      </c>
      <c r="E29">
        <v>0.73922329163082956</v>
      </c>
      <c r="F29" s="35">
        <f>ABS(E29-0.704)/E29</f>
        <v>4.764905547432375E-2</v>
      </c>
      <c r="G29">
        <v>0.79920348398398811</v>
      </c>
      <c r="H29" s="35">
        <f>ABS($G$29-0.746)/$G$29</f>
        <v>6.6570635701900957E-2</v>
      </c>
    </row>
    <row r="30" spans="2:10">
      <c r="J30" s="122">
        <f>C26*3/(D25*3+F25*3+H25*3)</f>
        <v>7.2436940872441435E-3</v>
      </c>
    </row>
    <row r="31" spans="2:10">
      <c r="D31" s="57">
        <f>D24/0.1</f>
        <v>1.7456200621933398</v>
      </c>
      <c r="F31" s="57">
        <f>F24/D24</f>
        <v>1.7400004509677423</v>
      </c>
      <c r="H31">
        <f>H24/F24</f>
        <v>1.7399866101506749</v>
      </c>
    </row>
    <row r="32" spans="2:10">
      <c r="I32" s="35">
        <f>AVERAGE(D29,F29,H29)</f>
        <v>4.3473092243384005E-2</v>
      </c>
    </row>
    <row r="33" spans="4:8" ht="15.75" thickBot="1">
      <c r="D33">
        <f>D25*3+F25*3+H25*3</f>
        <v>5.6667510396779823</v>
      </c>
      <c r="E33" s="73">
        <f>C26*3</f>
        <v>4.1048211000000001E-2</v>
      </c>
      <c r="F33" s="32">
        <f>E33/D33</f>
        <v>7.2436940872441435E-3</v>
      </c>
      <c r="H33" s="35">
        <f>AVERAGE(D28,F28,H28)</f>
        <v>1.5964881383232711E-3</v>
      </c>
    </row>
    <row r="34" spans="4:8" ht="17.25" thickTop="1" thickBot="1">
      <c r="E34" s="86" t="s">
        <v>155</v>
      </c>
      <c r="F34" s="87" t="s">
        <v>156</v>
      </c>
    </row>
    <row r="35" spans="4:8" ht="16.5" thickTop="1">
      <c r="D35" s="87" t="s">
        <v>55</v>
      </c>
      <c r="E35" s="100">
        <v>2</v>
      </c>
      <c r="F35" s="115">
        <v>3</v>
      </c>
    </row>
    <row r="36" spans="4:8" ht="15.75">
      <c r="D36" s="114" t="s">
        <v>56</v>
      </c>
      <c r="E36" s="93">
        <v>3</v>
      </c>
      <c r="F36" s="116">
        <v>3</v>
      </c>
    </row>
    <row r="37" spans="4:8" ht="15.75">
      <c r="D37" s="114" t="s">
        <v>57</v>
      </c>
      <c r="E37" s="117" t="str">
        <f>"4-55"</f>
        <v>4-55</v>
      </c>
      <c r="F37" s="118" t="str">
        <f>"3-44"</f>
        <v>3-44</v>
      </c>
    </row>
    <row r="38" spans="4:8" ht="18.75">
      <c r="D38" s="114" t="s">
        <v>59</v>
      </c>
      <c r="E38" s="119">
        <v>7.7000000000000002E-3</v>
      </c>
      <c r="F38" s="107">
        <v>1.6000000000000001E-3</v>
      </c>
    </row>
    <row r="39" spans="4:8" ht="18.75">
      <c r="D39" s="114" t="s">
        <v>149</v>
      </c>
      <c r="E39" s="120">
        <v>4.3499999999999997E-2</v>
      </c>
      <c r="F39" s="107">
        <v>4.3499999999999997E-2</v>
      </c>
    </row>
    <row r="40" spans="4:8" ht="18.75">
      <c r="D40" s="114" t="s">
        <v>150</v>
      </c>
      <c r="E40" s="125">
        <v>7.023878672729425E-3</v>
      </c>
      <c r="F40" s="123">
        <v>7.2436940872441435E-3</v>
      </c>
    </row>
    <row r="41" spans="4:8" ht="19.5" thickBot="1">
      <c r="D41" s="88" t="s">
        <v>61</v>
      </c>
      <c r="E41" s="121">
        <f>ABS(0.0494-E40)/0.0494</f>
        <v>0.85781622119980916</v>
      </c>
      <c r="F41" s="111">
        <f>ABS(0.0526-F40)/0.0526</f>
        <v>0.86228718465315313</v>
      </c>
    </row>
    <row r="42" spans="4:8" ht="15.75" thickTop="1"/>
  </sheetData>
  <mergeCells count="3">
    <mergeCell ref="A1:G8"/>
    <mergeCell ref="B11:F11"/>
    <mergeCell ref="B18: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24DDF-5F02-42F8-BF71-4F707F14D93C}">
  <sheetPr codeName="Hoja8"/>
  <dimension ref="A1:M44"/>
  <sheetViews>
    <sheetView showGridLines="0" topLeftCell="H20" workbookViewId="0">
      <selection activeCell="L25" sqref="L25"/>
    </sheetView>
  </sheetViews>
  <sheetFormatPr defaultColWidth="11.42578125" defaultRowHeight="15"/>
  <cols>
    <col min="3" max="3" width="13.28515625" bestFit="1" customWidth="1"/>
    <col min="4" max="4" width="19.7109375" bestFit="1" customWidth="1"/>
    <col min="5" max="5" width="26.140625" bestFit="1" customWidth="1"/>
    <col min="6" max="6" width="19.85546875" bestFit="1" customWidth="1"/>
    <col min="7" max="7" width="19.28515625" bestFit="1" customWidth="1"/>
    <col min="8" max="8" width="19.85546875" bestFit="1" customWidth="1"/>
    <col min="9" max="9" width="15.42578125" bestFit="1" customWidth="1"/>
    <col min="10" max="11" width="18.85546875" bestFit="1" customWidth="1"/>
    <col min="12" max="12" width="19.85546875" bestFit="1" customWidth="1"/>
    <col min="13" max="13" width="19.28515625" bestFit="1" customWidth="1"/>
    <col min="14" max="14" width="19.85546875" bestFit="1" customWidth="1"/>
    <col min="15" max="16" width="18.85546875" bestFit="1" customWidth="1"/>
  </cols>
  <sheetData>
    <row r="1" spans="1:12">
      <c r="A1" s="132" t="s">
        <v>110</v>
      </c>
      <c r="B1" s="133"/>
      <c r="C1" s="133"/>
      <c r="D1" s="133"/>
      <c r="E1" s="133"/>
      <c r="F1" s="133"/>
      <c r="G1" s="133"/>
    </row>
    <row r="2" spans="1:12">
      <c r="A2" s="133"/>
      <c r="B2" s="133"/>
      <c r="C2" s="133"/>
      <c r="D2" s="133"/>
      <c r="E2" s="133"/>
      <c r="F2" s="133"/>
      <c r="G2" s="133"/>
    </row>
    <row r="3" spans="1:12">
      <c r="A3" s="133"/>
      <c r="B3" s="133"/>
      <c r="C3" s="133"/>
      <c r="D3" s="133"/>
      <c r="E3" s="133"/>
      <c r="F3" s="133"/>
      <c r="G3" s="133"/>
    </row>
    <row r="4" spans="1:12">
      <c r="A4" s="133"/>
      <c r="B4" s="133"/>
      <c r="C4" s="133"/>
      <c r="D4" s="133"/>
      <c r="E4" s="133"/>
      <c r="F4" s="133"/>
      <c r="G4" s="133"/>
    </row>
    <row r="5" spans="1:12">
      <c r="A5" s="133"/>
      <c r="B5" s="133"/>
      <c r="C5" s="133"/>
      <c r="D5" s="133"/>
      <c r="E5" s="133"/>
      <c r="F5" s="133"/>
      <c r="G5" s="133"/>
    </row>
    <row r="6" spans="1:12">
      <c r="A6" s="133"/>
      <c r="B6" s="133"/>
      <c r="C6" s="133"/>
      <c r="D6" s="133"/>
      <c r="E6" s="133"/>
      <c r="F6" s="133"/>
      <c r="G6" s="133"/>
    </row>
    <row r="7" spans="1:12">
      <c r="A7" s="133"/>
      <c r="B7" s="133"/>
      <c r="C7" s="133"/>
      <c r="D7" s="133"/>
      <c r="E7" s="133"/>
      <c r="F7" s="133"/>
      <c r="G7" s="133"/>
    </row>
    <row r="8" spans="1:12">
      <c r="A8" s="133"/>
      <c r="B8" s="133"/>
      <c r="C8" s="133"/>
      <c r="D8" s="133"/>
      <c r="E8" s="133"/>
      <c r="F8" s="133"/>
      <c r="G8" s="133"/>
    </row>
    <row r="10" spans="1:12" ht="15.75" thickBot="1"/>
    <row r="11" spans="1:12" ht="17.25" thickTop="1" thickBot="1">
      <c r="B11" s="134" t="s">
        <v>111</v>
      </c>
      <c r="C11" s="135"/>
      <c r="D11" s="135"/>
      <c r="E11" s="135"/>
      <c r="F11" s="136"/>
      <c r="H11" s="1" t="s">
        <v>112</v>
      </c>
      <c r="I11" s="2">
        <f>'Caso 1'!I17/'Caso 1'!H17</f>
        <v>1</v>
      </c>
    </row>
    <row r="12" spans="1:12" ht="17.25" thickTop="1" thickBot="1">
      <c r="B12" s="3" t="s">
        <v>113</v>
      </c>
      <c r="C12" s="4" t="s">
        <v>67</v>
      </c>
      <c r="D12" s="3" t="s">
        <v>68</v>
      </c>
      <c r="E12" s="5" t="s">
        <v>69</v>
      </c>
      <c r="F12" s="3" t="s">
        <v>70</v>
      </c>
      <c r="H12" s="1" t="s">
        <v>114</v>
      </c>
      <c r="I12" s="2" t="e">
        <f>#REF!/'Caso 1'!I17</f>
        <v>#REF!</v>
      </c>
    </row>
    <row r="13" spans="1:12" ht="17.25" thickTop="1" thickBot="1">
      <c r="B13" s="6" t="s">
        <v>71</v>
      </c>
      <c r="C13" s="4">
        <v>1</v>
      </c>
      <c r="D13" s="5">
        <v>0.1</v>
      </c>
      <c r="E13" s="5">
        <f>SQRT(E14*D13)</f>
        <v>0.15172912992053531</v>
      </c>
      <c r="F13" s="7">
        <f>E13/D13</f>
        <v>1.5172912992053529</v>
      </c>
      <c r="H13" s="1" t="s">
        <v>115</v>
      </c>
      <c r="I13" s="2" t="e">
        <f>0.4128/#REF!</f>
        <v>#REF!</v>
      </c>
      <c r="L13">
        <v>21038.7411072</v>
      </c>
    </row>
    <row r="14" spans="1:12" ht="15.75" thickTop="1">
      <c r="B14" s="6" t="s">
        <v>72</v>
      </c>
      <c r="C14" s="6">
        <v>2</v>
      </c>
      <c r="D14" s="8">
        <f>E13</f>
        <v>0.15172912992053531</v>
      </c>
      <c r="E14" s="8">
        <f>SQRT(E16*D13)</f>
        <v>0.23021728866442678</v>
      </c>
      <c r="F14" s="9">
        <f>E14/D14</f>
        <v>1.5172912992053529</v>
      </c>
    </row>
    <row r="15" spans="1:12" ht="15.75" thickBot="1">
      <c r="B15" s="10" t="s">
        <v>116</v>
      </c>
      <c r="C15" s="6">
        <v>3</v>
      </c>
      <c r="D15" s="8">
        <f>E14</f>
        <v>0.23021728866442678</v>
      </c>
      <c r="E15">
        <f>SQRT(E16*E14)</f>
        <v>0.34930668901718187</v>
      </c>
      <c r="F15" s="9">
        <f>E15/D15</f>
        <v>1.5172912992053529</v>
      </c>
    </row>
    <row r="16" spans="1:12" ht="16.5" thickTop="1" thickBot="1">
      <c r="B16" s="8"/>
      <c r="C16" s="10">
        <v>4</v>
      </c>
      <c r="D16" s="11">
        <f>E15</f>
        <v>0.34930668901718187</v>
      </c>
      <c r="E16" s="11">
        <v>0.53</v>
      </c>
      <c r="F16" s="12">
        <f>E16/D16</f>
        <v>1.5172912992053529</v>
      </c>
    </row>
    <row r="17" spans="2:13" ht="15.75" thickTop="1">
      <c r="B17" s="8"/>
      <c r="C17" s="8"/>
      <c r="D17" s="8"/>
      <c r="E17" s="8"/>
      <c r="F17" s="8"/>
      <c r="I17" t="s">
        <v>117</v>
      </c>
      <c r="J17">
        <f>C19*D27+C19*F27+C19*H27+C19*J27</f>
        <v>10.589391098</v>
      </c>
      <c r="L17" t="s">
        <v>85</v>
      </c>
      <c r="M17">
        <v>4.3900000000000002E-2</v>
      </c>
    </row>
    <row r="18" spans="2:13">
      <c r="I18" t="s">
        <v>96</v>
      </c>
      <c r="J18">
        <f>C28*C19</f>
        <v>2.7365474000000001E-2</v>
      </c>
      <c r="L18" t="s">
        <v>48</v>
      </c>
      <c r="M18" s="72">
        <f>ABS(M17-J19)/M17</f>
        <v>0.94113360146397529</v>
      </c>
    </row>
    <row r="19" spans="2:13" ht="15.75" thickBot="1">
      <c r="B19" t="s">
        <v>118</v>
      </c>
      <c r="C19">
        <v>2</v>
      </c>
      <c r="I19" s="57" t="s">
        <v>119</v>
      </c>
      <c r="J19" s="57">
        <f>J18/J17</f>
        <v>2.5842348957314902E-3</v>
      </c>
    </row>
    <row r="20" spans="2:13" ht="16.5" thickTop="1" thickBot="1">
      <c r="B20" s="134" t="s">
        <v>88</v>
      </c>
      <c r="C20" s="135"/>
      <c r="D20" s="136"/>
    </row>
    <row r="21" spans="2:13" ht="16.5" thickTop="1" thickBot="1">
      <c r="B21" s="6" t="s">
        <v>13</v>
      </c>
      <c r="C21" s="1" t="s">
        <v>17</v>
      </c>
      <c r="D21" s="67" t="s">
        <v>131</v>
      </c>
      <c r="E21" s="1" t="s">
        <v>76</v>
      </c>
      <c r="F21" s="67" t="s">
        <v>134</v>
      </c>
      <c r="G21" s="13" t="s">
        <v>124</v>
      </c>
      <c r="H21" s="68" t="s">
        <v>137</v>
      </c>
      <c r="I21" s="13" t="s">
        <v>138</v>
      </c>
      <c r="J21" s="68" t="s">
        <v>140</v>
      </c>
      <c r="K21" s="13"/>
    </row>
    <row r="22" spans="2:13" ht="15.75" thickTop="1">
      <c r="B22" s="4" t="s">
        <v>20</v>
      </c>
      <c r="C22" s="5">
        <v>2.7388264840000001</v>
      </c>
      <c r="D22">
        <v>3.3043849999999999</v>
      </c>
      <c r="E22" s="7">
        <v>5.0072280429999996</v>
      </c>
      <c r="F22" s="8">
        <v>6.6837814550000001</v>
      </c>
      <c r="G22" s="8">
        <v>10.564845890000001</v>
      </c>
      <c r="H22" s="8">
        <v>14.28081675</v>
      </c>
      <c r="I22" s="8">
        <v>21.396391680000001</v>
      </c>
      <c r="J22" s="8">
        <v>30.078658050000001</v>
      </c>
    </row>
    <row r="23" spans="2:13">
      <c r="B23" s="6" t="s">
        <v>23</v>
      </c>
      <c r="C23" s="8">
        <v>7.5689938269999999</v>
      </c>
      <c r="D23">
        <v>9.1319657569999997</v>
      </c>
      <c r="E23" s="9">
        <v>11.40730735</v>
      </c>
      <c r="F23" s="8">
        <v>15.226777909999999</v>
      </c>
      <c r="G23" s="8">
        <v>21.65541966</v>
      </c>
      <c r="H23" s="8">
        <v>29.272275530000002</v>
      </c>
      <c r="I23" s="8">
        <v>38.252273559999999</v>
      </c>
      <c r="J23">
        <v>53.774350060000003</v>
      </c>
    </row>
    <row r="24" spans="2:13">
      <c r="B24" s="6" t="s">
        <v>26</v>
      </c>
      <c r="C24" s="8">
        <v>11.165957969999999</v>
      </c>
      <c r="D24">
        <v>12.159020529999999</v>
      </c>
      <c r="E24" s="9">
        <v>19.402814079999999</v>
      </c>
      <c r="F24" s="8">
        <v>21.600715430000001</v>
      </c>
      <c r="G24" s="8">
        <v>35.568316690000003</v>
      </c>
      <c r="H24" s="8">
        <v>40.104329450000002</v>
      </c>
      <c r="I24">
        <v>62.379571990000002</v>
      </c>
      <c r="J24" s="8">
        <v>71.782919300000003</v>
      </c>
    </row>
    <row r="25" spans="2:13">
      <c r="B25" s="6" t="s">
        <v>32</v>
      </c>
      <c r="C25" s="43">
        <v>0.15182680000000001</v>
      </c>
      <c r="D25">
        <v>0.15182850000000001</v>
      </c>
      <c r="E25" s="23">
        <v>0.2303161</v>
      </c>
      <c r="F25" s="8">
        <v>0.2303161</v>
      </c>
      <c r="G25" s="8">
        <v>0.34940589999999999</v>
      </c>
      <c r="H25" s="8">
        <v>0.34940569999999999</v>
      </c>
      <c r="I25">
        <v>0.53009790000000001</v>
      </c>
      <c r="J25" s="8">
        <v>0.53009819999999996</v>
      </c>
    </row>
    <row r="26" spans="2:13">
      <c r="B26" s="6" t="s">
        <v>35</v>
      </c>
      <c r="C26" s="43" t="s">
        <v>129</v>
      </c>
      <c r="D26">
        <v>0.17379214803123899</v>
      </c>
      <c r="E26" s="9" t="s">
        <v>129</v>
      </c>
      <c r="F26" s="8">
        <v>0.234466623031439</v>
      </c>
      <c r="G26" s="8" t="s">
        <v>129</v>
      </c>
      <c r="H26" s="8">
        <v>0.34857408023497</v>
      </c>
      <c r="I26" t="s">
        <v>129</v>
      </c>
      <c r="J26" s="8">
        <v>0.53110000000000002</v>
      </c>
    </row>
    <row r="27" spans="2:13">
      <c r="B27" s="6" t="s">
        <v>38</v>
      </c>
      <c r="C27" s="8">
        <v>3.4113032000000001E-2</v>
      </c>
      <c r="D27">
        <v>4.9656094999999997E-2</v>
      </c>
      <c r="E27" s="9">
        <v>0.114021309</v>
      </c>
      <c r="F27" s="8">
        <v>0.203158857</v>
      </c>
      <c r="G27" s="8">
        <v>0.50759532399999996</v>
      </c>
      <c r="H27" s="8">
        <v>0.92746466599999999</v>
      </c>
      <c r="I27" s="8">
        <v>2.081959892</v>
      </c>
      <c r="J27" s="8">
        <v>4.1144159309999999</v>
      </c>
    </row>
    <row r="28" spans="2:13">
      <c r="B28" s="6" t="s">
        <v>41</v>
      </c>
      <c r="C28" s="8">
        <v>1.3682737E-2</v>
      </c>
      <c r="D28" s="8">
        <v>1.3682737E-2</v>
      </c>
      <c r="E28" s="19">
        <v>6.3338836999999995E-2</v>
      </c>
      <c r="F28" s="36">
        <v>6.3338836999999995E-2</v>
      </c>
      <c r="G28" s="71">
        <v>0.26649769699999998</v>
      </c>
      <c r="H28" s="59">
        <v>0.26649769699999998</v>
      </c>
      <c r="I28" s="71">
        <v>1.1939623589999999</v>
      </c>
      <c r="J28" s="127">
        <v>1.1939623589999999</v>
      </c>
    </row>
    <row r="29" spans="2:13">
      <c r="B29" s="6" t="s">
        <v>44</v>
      </c>
      <c r="C29" s="8">
        <f t="shared" ref="C29:J29" si="0">C28/C27</f>
        <v>0.40109999603670526</v>
      </c>
      <c r="D29" s="8">
        <f t="shared" si="0"/>
        <v>0.27555000045815126</v>
      </c>
      <c r="E29" s="36">
        <f t="shared" si="0"/>
        <v>0.55549999868884148</v>
      </c>
      <c r="F29" s="36">
        <f t="shared" si="0"/>
        <v>0.31177000075364669</v>
      </c>
      <c r="G29" s="36">
        <f t="shared" si="0"/>
        <v>0.52501999998723392</v>
      </c>
      <c r="H29" s="36">
        <f t="shared" si="0"/>
        <v>0.28733999986151493</v>
      </c>
      <c r="I29" s="36">
        <f t="shared" si="0"/>
        <v>0.57348000006524613</v>
      </c>
      <c r="J29" s="36">
        <f t="shared" si="0"/>
        <v>0.2901899999958949</v>
      </c>
    </row>
    <row r="30" spans="2:13" ht="15.75" thickBot="1">
      <c r="B30" s="10" t="s">
        <v>48</v>
      </c>
      <c r="C30" s="14" t="e">
        <f t="shared" ref="C30:J30" si="1">ABS(C25-C26)/C25</f>
        <v>#VALUE!</v>
      </c>
      <c r="D30" s="14">
        <f t="shared" si="1"/>
        <v>0.14466090379104704</v>
      </c>
      <c r="E30" s="15" t="e">
        <f t="shared" si="1"/>
        <v>#VALUE!</v>
      </c>
      <c r="F30" s="15">
        <f t="shared" si="1"/>
        <v>1.8020985208758777E-2</v>
      </c>
      <c r="G30" s="15" t="e">
        <f t="shared" si="1"/>
        <v>#VALUE!</v>
      </c>
      <c r="H30" s="15">
        <f t="shared" si="1"/>
        <v>2.3800978777106085E-3</v>
      </c>
      <c r="I30" s="15" t="e">
        <f t="shared" si="1"/>
        <v>#VALUE!</v>
      </c>
      <c r="J30" s="15">
        <f t="shared" si="1"/>
        <v>1.8898385242584351E-3</v>
      </c>
    </row>
    <row r="31" spans="2:13" ht="15.75" thickTop="1">
      <c r="C31">
        <v>0.64679347099999995</v>
      </c>
      <c r="D31" s="35">
        <f>ABS(C31-0.6216)/C31</f>
        <v>3.8951337837484008E-2</v>
      </c>
      <c r="E31">
        <v>0.67483244600000003</v>
      </c>
      <c r="F31" s="35">
        <f>ABS(E31-0.626)/E31</f>
        <v>7.2362326810824426E-2</v>
      </c>
      <c r="G31">
        <v>0.73910057600000001</v>
      </c>
      <c r="H31" s="35">
        <f>ABS($G$31-0.686)/$G$31</f>
        <v>7.1844858094116754E-2</v>
      </c>
      <c r="I31">
        <v>0.788595202</v>
      </c>
      <c r="J31" s="21">
        <f>ABS($I$31-0.726)/$I$31</f>
        <v>7.9375580578285101E-2</v>
      </c>
    </row>
    <row r="33" spans="4:10">
      <c r="D33" s="57">
        <f>D26/0.1</f>
        <v>1.7379214803123899</v>
      </c>
      <c r="F33" s="57">
        <f>F26/D26</f>
        <v>1.3491209222484195</v>
      </c>
      <c r="G33" t="e">
        <f>G26/#REF!</f>
        <v>#VALUE!</v>
      </c>
      <c r="H33" s="57" t="e">
        <f>H26/#REF!</f>
        <v>#REF!</v>
      </c>
      <c r="I33" t="e">
        <f>I26/#REF!</f>
        <v>#VALUE!</v>
      </c>
      <c r="J33" s="57" t="e">
        <f>J26/#REF!</f>
        <v>#REF!</v>
      </c>
    </row>
    <row r="35" spans="4:10" ht="15.75" thickBot="1">
      <c r="D35">
        <f>D27*3+F27*3+H27*3+J27*3</f>
        <v>15.884086647</v>
      </c>
      <c r="E35">
        <f>C28*3</f>
        <v>4.1048211000000001E-2</v>
      </c>
    </row>
    <row r="36" spans="4:10" ht="17.25" thickTop="1" thickBot="1">
      <c r="D36">
        <f>E35/D35</f>
        <v>2.5842348957314902E-3</v>
      </c>
      <c r="F36" s="86" t="s">
        <v>157</v>
      </c>
      <c r="G36" s="87" t="s">
        <v>158</v>
      </c>
      <c r="H36" s="35">
        <f>AVERAGE(D30,F30,H30,J30)</f>
        <v>4.1737956350443715E-2</v>
      </c>
      <c r="I36" s="35">
        <f>AVERAGE(D31,F31,H31,J31)</f>
        <v>6.5633525830177578E-2</v>
      </c>
    </row>
    <row r="37" spans="4:10" ht="16.5" thickTop="1">
      <c r="E37" s="87" t="s">
        <v>55</v>
      </c>
      <c r="F37" s="100">
        <v>2</v>
      </c>
      <c r="G37" s="115">
        <v>3</v>
      </c>
    </row>
    <row r="38" spans="4:10" ht="15.75">
      <c r="E38" s="114" t="s">
        <v>56</v>
      </c>
      <c r="F38" s="93">
        <v>4</v>
      </c>
      <c r="G38" s="116">
        <v>4</v>
      </c>
      <c r="I38">
        <f>C28*3/(D27*3+F27*3+H27*3+J27*3)</f>
        <v>2.5842348957314902E-3</v>
      </c>
    </row>
    <row r="39" spans="4:10" ht="15.75">
      <c r="E39" s="114" t="s">
        <v>57</v>
      </c>
      <c r="F39" s="117" t="str">
        <f>"4-91"</f>
        <v>4-91</v>
      </c>
      <c r="G39" s="118" t="str">
        <f>"3-72"</f>
        <v>3-72</v>
      </c>
    </row>
    <row r="40" spans="4:10" ht="18.75">
      <c r="E40" s="114" t="s">
        <v>59</v>
      </c>
      <c r="F40" s="119">
        <v>4.2099999999999999E-2</v>
      </c>
      <c r="G40" s="107">
        <v>4.1700000000000001E-2</v>
      </c>
    </row>
    <row r="41" spans="4:10" ht="18.75">
      <c r="E41" s="114" t="s">
        <v>149</v>
      </c>
      <c r="F41" s="120">
        <v>5.33E-2</v>
      </c>
      <c r="G41" s="107">
        <v>6.5600000000000006E-2</v>
      </c>
    </row>
    <row r="42" spans="4:10" ht="18.75">
      <c r="E42" s="114" t="s">
        <v>150</v>
      </c>
      <c r="F42" s="124">
        <v>2.4615614897266374E-3</v>
      </c>
      <c r="G42" s="123">
        <v>2.5842348957314902E-3</v>
      </c>
    </row>
    <row r="43" spans="4:10" ht="19.5" thickBot="1">
      <c r="E43" s="88" t="s">
        <v>61</v>
      </c>
      <c r="F43" s="121">
        <f>ABS(0.0439-F42)/0.0439</f>
        <v>0.94392798428868707</v>
      </c>
      <c r="G43" s="111">
        <f>ABS(0.0538-G42)/0.0538</f>
        <v>0.95196589413138488</v>
      </c>
    </row>
    <row r="44" spans="4:10" ht="15.75" thickTop="1"/>
  </sheetData>
  <mergeCells count="3">
    <mergeCell ref="A1:G8"/>
    <mergeCell ref="B11:F11"/>
    <mergeCell ref="B20:D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31DAD-FFAE-405D-A7E7-C0F13FCF2A41}">
  <dimension ref="A1:M82"/>
  <sheetViews>
    <sheetView showGridLines="0" topLeftCell="A69" workbookViewId="0">
      <selection activeCell="E84" sqref="E84"/>
    </sheetView>
  </sheetViews>
  <sheetFormatPr defaultColWidth="11.42578125" defaultRowHeight="15"/>
  <cols>
    <col min="2" max="2" width="16.140625" bestFit="1" customWidth="1"/>
    <col min="3" max="3" width="18.42578125" bestFit="1" customWidth="1"/>
    <col min="4" max="4" width="22.42578125" bestFit="1" customWidth="1"/>
    <col min="5" max="5" width="26.140625" bestFit="1" customWidth="1"/>
    <col min="6" max="6" width="22.140625" bestFit="1" customWidth="1"/>
    <col min="7" max="7" width="21" bestFit="1" customWidth="1"/>
    <col min="8" max="8" width="21.7109375" bestFit="1" customWidth="1"/>
    <col min="9" max="9" width="19.85546875" bestFit="1" customWidth="1"/>
    <col min="10" max="10" width="19.85546875" customWidth="1"/>
    <col min="11" max="11" width="20.7109375" bestFit="1" customWidth="1"/>
    <col min="12" max="12" width="19.85546875" bestFit="1" customWidth="1"/>
    <col min="13" max="13" width="13" bestFit="1" customWidth="1"/>
  </cols>
  <sheetData>
    <row r="1" spans="1:11">
      <c r="A1" s="132" t="s">
        <v>159</v>
      </c>
      <c r="B1" s="133"/>
      <c r="C1" s="133"/>
      <c r="D1" s="133"/>
      <c r="E1" s="133"/>
      <c r="F1" s="133"/>
      <c r="G1" s="133"/>
    </row>
    <row r="2" spans="1:11">
      <c r="A2" s="133"/>
      <c r="B2" s="133"/>
      <c r="C2" s="133"/>
      <c r="D2" s="133"/>
      <c r="E2" s="133"/>
      <c r="F2" s="133"/>
      <c r="G2" s="133"/>
    </row>
    <row r="3" spans="1:11">
      <c r="A3" s="133"/>
      <c r="B3" s="133"/>
      <c r="C3" s="133"/>
      <c r="D3" s="133"/>
      <c r="E3" s="133"/>
      <c r="F3" s="133"/>
      <c r="G3" s="133"/>
    </row>
    <row r="4" spans="1:11">
      <c r="A4" s="133"/>
      <c r="B4" s="133"/>
      <c r="C4" s="133"/>
      <c r="D4" s="133"/>
      <c r="E4" s="133"/>
      <c r="F4" s="133"/>
      <c r="G4" s="133"/>
    </row>
    <row r="5" spans="1:11">
      <c r="A5" s="133"/>
      <c r="B5" s="133"/>
      <c r="C5" s="133"/>
      <c r="D5" s="133"/>
      <c r="E5" s="133"/>
      <c r="F5" s="133"/>
      <c r="G5" s="133"/>
    </row>
    <row r="6" spans="1:11">
      <c r="A6" s="133"/>
      <c r="B6" s="133"/>
      <c r="C6" s="133"/>
      <c r="D6" s="133"/>
      <c r="E6" s="133"/>
      <c r="F6" s="133"/>
      <c r="G6" s="133"/>
    </row>
    <row r="7" spans="1:11">
      <c r="A7" s="133"/>
      <c r="B7" s="133"/>
      <c r="C7" s="133"/>
      <c r="D7" s="133"/>
      <c r="E7" s="133"/>
      <c r="F7" s="133"/>
      <c r="G7" s="133"/>
    </row>
    <row r="8" spans="1:11">
      <c r="A8" s="133"/>
      <c r="B8" s="133"/>
      <c r="C8" s="133"/>
      <c r="D8" s="133"/>
      <c r="E8" s="133"/>
      <c r="F8" s="133"/>
      <c r="G8" s="133"/>
    </row>
    <row r="10" spans="1:11" ht="15.75" thickBot="1"/>
    <row r="11" spans="1:11" ht="16.5" thickTop="1" thickBot="1">
      <c r="B11" s="3" t="s">
        <v>66</v>
      </c>
      <c r="C11" s="4" t="s">
        <v>67</v>
      </c>
      <c r="D11" s="3" t="s">
        <v>68</v>
      </c>
      <c r="E11" s="5" t="s">
        <v>69</v>
      </c>
      <c r="F11" s="3" t="s">
        <v>70</v>
      </c>
    </row>
    <row r="12" spans="1:11" ht="15.75" thickTop="1">
      <c r="B12" s="13" t="s">
        <v>71</v>
      </c>
      <c r="C12" s="4">
        <v>1</v>
      </c>
      <c r="D12" s="5">
        <v>0.1</v>
      </c>
      <c r="E12" s="5">
        <f>SQRT(E13*D12)</f>
        <v>0.2059767143907118</v>
      </c>
      <c r="F12" s="78">
        <f>E12/D12</f>
        <v>2.0597671439071177</v>
      </c>
      <c r="G12">
        <f>E12-D12</f>
        <v>0.1059767143907118</v>
      </c>
      <c r="H12" s="8">
        <f>C27/D12</f>
        <v>1.9457030421788197</v>
      </c>
    </row>
    <row r="13" spans="1:11" ht="15.75" thickBot="1">
      <c r="B13" s="13" t="s">
        <v>72</v>
      </c>
      <c r="C13" s="10">
        <v>2</v>
      </c>
      <c r="D13" s="8">
        <f>E12</f>
        <v>0.2059767143907118</v>
      </c>
      <c r="E13" s="8">
        <f>SQRT(E15*D12)</f>
        <v>0.42426406871192857</v>
      </c>
      <c r="F13" s="79">
        <f>E13/D13</f>
        <v>2.0597671439071177</v>
      </c>
      <c r="G13">
        <f>E13-D13</f>
        <v>0.21828735432121676</v>
      </c>
      <c r="H13" s="8">
        <f>D27/C27</f>
        <v>1.7056089892823754</v>
      </c>
      <c r="K13">
        <f>0.37/1.06</f>
        <v>0.34905660377358488</v>
      </c>
    </row>
    <row r="14" spans="1:11" ht="16.5" thickTop="1" thickBot="1">
      <c r="B14" s="31" t="s">
        <v>73</v>
      </c>
      <c r="C14">
        <v>3</v>
      </c>
      <c r="D14" s="8">
        <f>E13</f>
        <v>0.42426406871192857</v>
      </c>
      <c r="E14">
        <f>SQRT(E15*E13)</f>
        <v>0.87388518907318224</v>
      </c>
      <c r="F14" s="79">
        <f t="shared" ref="F14:F15" si="0">E14/D14</f>
        <v>2.0597671439071177</v>
      </c>
    </row>
    <row r="15" spans="1:11" ht="16.5" thickTop="1" thickBot="1">
      <c r="B15" s="8"/>
      <c r="C15" s="8">
        <v>4</v>
      </c>
      <c r="D15" s="11">
        <f>E14</f>
        <v>0.87388518907318224</v>
      </c>
      <c r="E15" s="11">
        <v>1.8</v>
      </c>
      <c r="F15" s="79">
        <f t="shared" si="0"/>
        <v>2.0597671439071177</v>
      </c>
    </row>
    <row r="16" spans="1:11" ht="15.75" thickTop="1">
      <c r="B16" s="8"/>
      <c r="I16">
        <f>5.13*0.35</f>
        <v>1.7954999999999999</v>
      </c>
    </row>
    <row r="17" spans="2:13">
      <c r="B17" s="8"/>
      <c r="H17">
        <f>2*0.1</f>
        <v>0.2</v>
      </c>
    </row>
    <row r="19" spans="2:13" s="57" customFormat="1">
      <c r="B19" s="49" t="s">
        <v>160</v>
      </c>
    </row>
    <row r="20" spans="2:13" ht="15.75" thickBot="1"/>
    <row r="21" spans="2:13" ht="16.5" thickTop="1" thickBot="1">
      <c r="B21" s="134" t="s">
        <v>75</v>
      </c>
      <c r="C21" s="135"/>
      <c r="D21" s="136"/>
      <c r="E21" s="8"/>
      <c r="F21" s="8"/>
      <c r="K21" s="137"/>
      <c r="L21" s="137"/>
      <c r="M21" s="137"/>
    </row>
    <row r="22" spans="2:13" ht="16.5" thickTop="1" thickBot="1">
      <c r="B22" s="6" t="s">
        <v>13</v>
      </c>
      <c r="C22" s="67" t="s">
        <v>17</v>
      </c>
      <c r="D22" s="1" t="s">
        <v>76</v>
      </c>
      <c r="E22" s="1" t="s">
        <v>161</v>
      </c>
      <c r="F22" s="67" t="s">
        <v>162</v>
      </c>
      <c r="G22" s="1" t="s">
        <v>163</v>
      </c>
      <c r="H22" s="67" t="s">
        <v>164</v>
      </c>
      <c r="K22" s="8"/>
      <c r="L22" s="8"/>
      <c r="M22" s="8"/>
    </row>
    <row r="23" spans="2:13" ht="15.75" thickTop="1">
      <c r="B23" s="4" t="s">
        <v>20</v>
      </c>
      <c r="C23" s="5">
        <v>3.5572331109999999</v>
      </c>
      <c r="D23" s="7">
        <v>8.1811636389999993</v>
      </c>
      <c r="E23" s="37">
        <v>11.16702448</v>
      </c>
      <c r="F23" s="37">
        <v>10.542557309999999</v>
      </c>
      <c r="G23" s="37">
        <v>22.197879010000001</v>
      </c>
      <c r="H23">
        <v>34.131812359999998</v>
      </c>
      <c r="K23" s="8"/>
      <c r="L23" s="8"/>
      <c r="M23" s="8"/>
    </row>
    <row r="24" spans="2:13">
      <c r="B24" s="6" t="s">
        <v>23</v>
      </c>
      <c r="C24" s="8">
        <v>9.8307343009999997</v>
      </c>
      <c r="D24" s="9">
        <v>17.90090614</v>
      </c>
      <c r="E24" s="38">
        <v>24.434159470000001</v>
      </c>
      <c r="F24" s="38">
        <v>23.067785600000001</v>
      </c>
      <c r="G24" s="38">
        <v>37.246194699999997</v>
      </c>
      <c r="H24">
        <v>57.270342290000002</v>
      </c>
      <c r="K24" s="8"/>
      <c r="L24" s="8"/>
      <c r="M24" s="8"/>
    </row>
    <row r="25" spans="2:13">
      <c r="B25" s="6" t="s">
        <v>26</v>
      </c>
      <c r="C25" s="8">
        <v>12.63328643</v>
      </c>
      <c r="D25" s="9">
        <v>23.40611204</v>
      </c>
      <c r="E25" s="38">
        <v>28.15622776</v>
      </c>
      <c r="F25" s="38">
        <v>27.116359760000002</v>
      </c>
      <c r="G25" s="38">
        <v>47.576966120000002</v>
      </c>
      <c r="H25">
        <v>62.71549263</v>
      </c>
      <c r="K25" s="8"/>
      <c r="L25" s="8"/>
      <c r="M25" s="8"/>
    </row>
    <row r="26" spans="2:13">
      <c r="B26" s="6" t="s">
        <v>32</v>
      </c>
      <c r="C26" s="43">
        <v>0.20607619999999999</v>
      </c>
      <c r="D26" s="9">
        <v>0.42436049999999997</v>
      </c>
      <c r="E26" s="38">
        <v>0.4243614</v>
      </c>
      <c r="F26" s="38">
        <v>0.4243634</v>
      </c>
      <c r="G26" s="38">
        <v>0.87398469999999995</v>
      </c>
      <c r="H26">
        <v>0.87398384482247005</v>
      </c>
      <c r="K26" s="8"/>
      <c r="L26" s="8"/>
      <c r="M26" s="8"/>
    </row>
    <row r="27" spans="2:13">
      <c r="B27" s="6" t="s">
        <v>35</v>
      </c>
      <c r="C27" s="8">
        <v>0.19457030421788199</v>
      </c>
      <c r="D27" s="9">
        <v>0.331860859921426</v>
      </c>
      <c r="E27" s="38">
        <v>0.43363944138174798</v>
      </c>
      <c r="F27" s="38">
        <v>0.41819952083467099</v>
      </c>
      <c r="G27" s="38">
        <v>0.67708726689753296</v>
      </c>
      <c r="H27">
        <v>0.84310933163074298</v>
      </c>
      <c r="K27" s="8"/>
      <c r="L27" s="8"/>
      <c r="M27" s="8"/>
    </row>
    <row r="28" spans="2:13">
      <c r="B28" s="6" t="s">
        <v>38</v>
      </c>
      <c r="C28" s="8">
        <v>5.7546105E-2</v>
      </c>
      <c r="D28" s="9">
        <v>0.30438373299999999</v>
      </c>
      <c r="E28" s="38">
        <v>0.56710857699999995</v>
      </c>
      <c r="F28" s="38">
        <v>0.50545584300000002</v>
      </c>
      <c r="G28" s="38">
        <v>2.2408574990000001</v>
      </c>
      <c r="H28">
        <v>5.2979759059999996</v>
      </c>
      <c r="K28" s="8"/>
      <c r="L28" s="8"/>
      <c r="M28" s="8"/>
    </row>
    <row r="29" spans="2:13">
      <c r="B29" s="6" t="s">
        <v>41</v>
      </c>
      <c r="C29" s="8">
        <v>1.36827373333197E-2</v>
      </c>
      <c r="D29" s="19">
        <v>7.1228837333319694E-2</v>
      </c>
      <c r="E29" s="19">
        <v>7.1228837333319694E-2</v>
      </c>
      <c r="F29" s="19">
        <v>7.1228837333319694E-2</v>
      </c>
      <c r="G29" s="39">
        <v>0.57668467733331996</v>
      </c>
      <c r="H29" s="39">
        <v>0.57668467733331996</v>
      </c>
      <c r="K29" s="8"/>
      <c r="L29" s="8"/>
      <c r="M29" s="8"/>
    </row>
    <row r="30" spans="2:13">
      <c r="B30" s="6" t="s">
        <v>44</v>
      </c>
      <c r="C30" s="8">
        <f t="shared" ref="C30:H30" si="1">C29/C28</f>
        <v>0.23776999908716151</v>
      </c>
      <c r="D30" s="36">
        <f t="shared" si="1"/>
        <v>0.23400999991454766</v>
      </c>
      <c r="E30" s="40">
        <f t="shared" si="1"/>
        <v>0.12560000010953759</v>
      </c>
      <c r="F30" s="40">
        <f t="shared" si="1"/>
        <v>0.14091999987686302</v>
      </c>
      <c r="G30" s="40">
        <f t="shared" si="1"/>
        <v>0.25734999998467994</v>
      </c>
      <c r="H30" s="40">
        <f t="shared" si="1"/>
        <v>0.10884999999343523</v>
      </c>
      <c r="K30" s="8"/>
      <c r="L30" s="8"/>
      <c r="M30" s="8"/>
    </row>
    <row r="31" spans="2:13" ht="15.75" thickBot="1">
      <c r="B31" s="10" t="s">
        <v>48</v>
      </c>
      <c r="C31" s="14">
        <f t="shared" ref="C31:H31" si="2">ABS(C26-C27)/C26</f>
        <v>5.5833210152933709E-2</v>
      </c>
      <c r="D31" s="15">
        <f t="shared" si="2"/>
        <v>0.21797419900903589</v>
      </c>
      <c r="E31" s="41">
        <f t="shared" si="2"/>
        <v>2.1863537498339813E-2</v>
      </c>
      <c r="F31" s="41">
        <f t="shared" si="2"/>
        <v>1.4525001838822603E-2</v>
      </c>
      <c r="G31" s="41">
        <f t="shared" si="2"/>
        <v>0.22528704804840061</v>
      </c>
      <c r="H31" s="41">
        <f t="shared" si="2"/>
        <v>3.532618294334551E-2</v>
      </c>
      <c r="K31" s="8"/>
      <c r="L31" s="8"/>
      <c r="M31" s="8"/>
    </row>
    <row r="32" spans="2:13" ht="15.75" thickTop="1">
      <c r="B32" s="6" t="s">
        <v>94</v>
      </c>
      <c r="C32" s="8">
        <v>0.71678227400000005</v>
      </c>
      <c r="D32">
        <v>0.79408670299999995</v>
      </c>
      <c r="E32" s="21">
        <f>ABS(D32-0.76)/D32</f>
        <v>4.2925669037427443E-2</v>
      </c>
      <c r="F32" s="35">
        <f>ABS(D32-0.765)/D32</f>
        <v>3.6629127386357881E-2</v>
      </c>
      <c r="G32">
        <v>0.85679253899999996</v>
      </c>
      <c r="H32" s="80">
        <f>ABS(G32-0.81)/G32</f>
        <v>5.4613616330755552E-2</v>
      </c>
      <c r="K32" s="8"/>
      <c r="L32" s="8"/>
      <c r="M32" s="8"/>
    </row>
    <row r="33" spans="2:13">
      <c r="C33" s="8"/>
      <c r="F33" s="35"/>
      <c r="K33" s="8"/>
      <c r="L33" s="8"/>
      <c r="M33" s="8"/>
    </row>
    <row r="34" spans="2:13">
      <c r="B34" s="8" t="s">
        <v>80</v>
      </c>
      <c r="C34" s="33">
        <f>($C$29*3)/($C$28*3+F28*3+H28*3)</f>
        <v>2.3345485470451844E-3</v>
      </c>
      <c r="D34" s="8"/>
      <c r="E34" s="8"/>
      <c r="F34" s="8"/>
      <c r="K34" s="8"/>
      <c r="L34" s="8"/>
      <c r="M34" s="8"/>
    </row>
    <row r="35" spans="2:13">
      <c r="B35" s="8" t="s">
        <v>48</v>
      </c>
      <c r="C35" s="48">
        <f>AVERAGE(C31,F31,H31)</f>
        <v>3.5228131645033939E-2</v>
      </c>
      <c r="E35" s="29">
        <f>AVERAGE(C31,F31,H31)</f>
        <v>3.5228131645033939E-2</v>
      </c>
      <c r="F35" s="29"/>
      <c r="K35" s="82"/>
      <c r="L35" s="77"/>
      <c r="M35" s="77"/>
    </row>
    <row r="36" spans="2:13" ht="15.75" thickBot="1">
      <c r="C36" s="29"/>
      <c r="E36" s="42"/>
    </row>
    <row r="37" spans="2:13" ht="16.5" thickTop="1" thickBot="1">
      <c r="B37" s="44" t="s">
        <v>81</v>
      </c>
      <c r="C37" s="44" t="s">
        <v>82</v>
      </c>
    </row>
    <row r="38" spans="2:13" ht="16.5" thickTop="1" thickBot="1">
      <c r="B38" s="46">
        <f>(C29*3)/B40</f>
        <v>0.78038425855435556</v>
      </c>
      <c r="C38" s="44">
        <f>C28*3+F28*3+H28*3</f>
        <v>17.582933561999997</v>
      </c>
    </row>
    <row r="39" spans="2:13" ht="15.75" customHeight="1" thickTop="1" thickBot="1">
      <c r="B39" s="44" t="s">
        <v>85</v>
      </c>
      <c r="C39" s="44" t="s">
        <v>86</v>
      </c>
    </row>
    <row r="40" spans="2:13" ht="16.5" customHeight="1" thickTop="1" thickBot="1">
      <c r="B40" s="44">
        <v>5.2600000000000001E-2</v>
      </c>
      <c r="C40" s="47">
        <f>ABS(B40-C34)/B40</f>
        <v>0.95561694777480632</v>
      </c>
      <c r="E40" s="81"/>
      <c r="F40" s="81"/>
    </row>
    <row r="41" spans="2:13" ht="15" customHeight="1" thickTop="1">
      <c r="D41" s="32"/>
    </row>
    <row r="45" spans="2:13" s="57" customFormat="1">
      <c r="B45" s="49" t="s">
        <v>165</v>
      </c>
    </row>
    <row r="46" spans="2:13" ht="15.75" thickBot="1"/>
    <row r="47" spans="2:13" ht="16.5" thickTop="1" thickBot="1">
      <c r="B47" s="4" t="s">
        <v>67</v>
      </c>
      <c r="C47" s="3" t="s">
        <v>68</v>
      </c>
      <c r="D47" s="5" t="s">
        <v>69</v>
      </c>
      <c r="E47" s="3" t="s">
        <v>70</v>
      </c>
    </row>
    <row r="48" spans="2:13" ht="15.75" thickTop="1">
      <c r="B48" s="4">
        <v>1</v>
      </c>
      <c r="C48" s="5">
        <v>0.1</v>
      </c>
      <c r="D48" s="5">
        <f>SQRT(D49*C48)</f>
        <v>0.23003266337912059</v>
      </c>
      <c r="E48" s="84">
        <f>D48/C48</f>
        <v>2.3003266337912058</v>
      </c>
    </row>
    <row r="49" spans="2:12" ht="15.75" thickBot="1">
      <c r="B49" s="10">
        <v>2</v>
      </c>
      <c r="C49" s="8">
        <f>D48</f>
        <v>0.23003266337912059</v>
      </c>
      <c r="D49" s="8">
        <f>SQRT(D51*C48)</f>
        <v>0.52915026221291805</v>
      </c>
      <c r="E49" s="83">
        <f>D49/C49</f>
        <v>2.3003266337912058</v>
      </c>
    </row>
    <row r="50" spans="2:12" ht="16.5" thickTop="1" thickBot="1">
      <c r="B50">
        <v>3</v>
      </c>
      <c r="C50" s="8">
        <f>D49</f>
        <v>0.52915026221291805</v>
      </c>
      <c r="D50">
        <f>SQRT(D51*D49)</f>
        <v>1.2172184414459759</v>
      </c>
      <c r="E50" s="83">
        <f t="shared" ref="E50:E51" si="3">D50/C50</f>
        <v>2.3003266337912063</v>
      </c>
    </row>
    <row r="51" spans="2:12" ht="16.5" thickTop="1" thickBot="1">
      <c r="B51" s="8">
        <v>4</v>
      </c>
      <c r="C51" s="11">
        <f>D50</f>
        <v>1.2172184414459759</v>
      </c>
      <c r="D51" s="11">
        <v>2.8</v>
      </c>
      <c r="E51" s="83">
        <f t="shared" si="3"/>
        <v>2.3003266337912058</v>
      </c>
    </row>
    <row r="52" spans="2:12" ht="16.5" thickTop="1" thickBot="1"/>
    <row r="53" spans="2:12" ht="16.5" thickTop="1" thickBot="1">
      <c r="B53" s="134" t="s">
        <v>88</v>
      </c>
      <c r="C53" s="135"/>
      <c r="D53" s="136"/>
      <c r="E53" s="8"/>
      <c r="K53" t="s">
        <v>166</v>
      </c>
      <c r="L53" t="s">
        <v>167</v>
      </c>
    </row>
    <row r="54" spans="2:12" ht="16.5" thickTop="1" thickBot="1">
      <c r="B54" s="6" t="s">
        <v>13</v>
      </c>
      <c r="C54" s="67" t="s">
        <v>17</v>
      </c>
      <c r="D54" s="1" t="s">
        <v>76</v>
      </c>
      <c r="E54" s="1" t="s">
        <v>89</v>
      </c>
      <c r="F54" s="67" t="s">
        <v>102</v>
      </c>
      <c r="G54" s="13" t="s">
        <v>163</v>
      </c>
      <c r="H54" s="13" t="s">
        <v>168</v>
      </c>
      <c r="I54" s="68" t="s">
        <v>169</v>
      </c>
      <c r="K54">
        <v>100</v>
      </c>
      <c r="L54">
        <f t="shared" ref="L54:L57" si="4">0.0000002*(K54^2)-0.002*K54+5.3266</f>
        <v>5.1285999999999996</v>
      </c>
    </row>
    <row r="55" spans="2:12" ht="15.75" thickTop="1">
      <c r="B55" s="4" t="s">
        <v>20</v>
      </c>
      <c r="C55" s="5">
        <v>4.0335474490000003</v>
      </c>
      <c r="D55" s="7">
        <v>9.8931246250000004</v>
      </c>
      <c r="E55">
        <v>11.898953049999999</v>
      </c>
      <c r="F55" s="8">
        <v>14.208707560000001</v>
      </c>
      <c r="G55" s="8">
        <v>40.44552144</v>
      </c>
      <c r="H55" s="8">
        <v>74.865243980000002</v>
      </c>
      <c r="I55" s="8">
        <v>129.34303790000001</v>
      </c>
      <c r="K55">
        <v>500</v>
      </c>
      <c r="L55">
        <f t="shared" si="4"/>
        <v>4.3765999999999998</v>
      </c>
    </row>
    <row r="56" spans="2:12">
      <c r="B56" s="6" t="s">
        <v>23</v>
      </c>
      <c r="C56" s="8">
        <v>11.1470719</v>
      </c>
      <c r="D56" s="9">
        <v>20.527424979999999</v>
      </c>
      <c r="E56">
        <v>24.689355030000002</v>
      </c>
      <c r="F56" s="8">
        <v>29.481906840000001</v>
      </c>
      <c r="G56" s="8">
        <v>62.861693989999999</v>
      </c>
      <c r="H56" s="8">
        <v>116.3579029</v>
      </c>
      <c r="I56" s="8">
        <v>201.02899360000001</v>
      </c>
      <c r="K56">
        <v>600</v>
      </c>
      <c r="L56">
        <f t="shared" si="4"/>
        <v>4.1985999999999999</v>
      </c>
    </row>
    <row r="57" spans="2:12">
      <c r="B57" s="6" t="s">
        <v>26</v>
      </c>
      <c r="C57" s="8">
        <v>13.5684811</v>
      </c>
      <c r="D57" s="9">
        <v>25.602130939999999</v>
      </c>
      <c r="E57">
        <v>28.670853910000002</v>
      </c>
      <c r="F57" s="8">
        <v>32.431192860000003</v>
      </c>
      <c r="G57" s="8">
        <v>70.184916720000004</v>
      </c>
      <c r="H57" s="8">
        <v>115.6309158</v>
      </c>
      <c r="I57" s="8">
        <v>192.4585084</v>
      </c>
      <c r="K57">
        <v>1000</v>
      </c>
      <c r="L57">
        <f t="shared" si="4"/>
        <v>3.5266000000000002</v>
      </c>
    </row>
    <row r="58" spans="2:12">
      <c r="B58" s="6" t="s">
        <v>32</v>
      </c>
      <c r="C58" s="59">
        <v>0.23012879999999999</v>
      </c>
      <c r="D58" s="55">
        <v>0.52924718624658396</v>
      </c>
      <c r="E58">
        <v>0.52925009999999995</v>
      </c>
      <c r="F58" s="8">
        <v>0.52924749999999998</v>
      </c>
      <c r="G58">
        <v>1.2173083</v>
      </c>
      <c r="H58" s="8">
        <v>1.2171227</v>
      </c>
      <c r="I58" s="8">
        <v>1.2171246</v>
      </c>
      <c r="K58">
        <v>1500</v>
      </c>
      <c r="L58">
        <f>0.0000002*(K58^2)-0.002*K58+5.3266</f>
        <v>2.7766000000000002</v>
      </c>
    </row>
    <row r="59" spans="2:12">
      <c r="B59" s="6" t="s">
        <v>35</v>
      </c>
      <c r="C59" s="59">
        <v>0.22601561598002001</v>
      </c>
      <c r="D59" s="9">
        <v>0.42162569478286199</v>
      </c>
      <c r="E59">
        <v>0.48234017882320002</v>
      </c>
      <c r="F59" s="8">
        <v>0.52632015590813397</v>
      </c>
      <c r="G59" s="8">
        <v>0.97720567585895501</v>
      </c>
      <c r="H59" s="8">
        <v>1.1034620778525099</v>
      </c>
      <c r="I59" s="8">
        <v>1.14331434890019</v>
      </c>
      <c r="K59">
        <v>2000</v>
      </c>
      <c r="L59">
        <v>2.2999999999999998</v>
      </c>
    </row>
    <row r="60" spans="2:12">
      <c r="B60" s="6" t="s">
        <v>38</v>
      </c>
      <c r="C60" s="8">
        <v>7.3988737999999998E-2</v>
      </c>
      <c r="D60" s="9">
        <v>0.44510066199999998</v>
      </c>
      <c r="E60">
        <v>0.64388570300000003</v>
      </c>
      <c r="F60" s="8">
        <v>0.91812207899999998</v>
      </c>
      <c r="G60" s="8">
        <v>7.4393014600000003</v>
      </c>
      <c r="H60" s="8">
        <v>25.48893962</v>
      </c>
      <c r="I60" s="8">
        <v>76.081207059999997</v>
      </c>
      <c r="K60">
        <v>2500</v>
      </c>
      <c r="L60">
        <v>1.75</v>
      </c>
    </row>
    <row r="61" spans="2:12">
      <c r="B61" s="6" t="s">
        <v>41</v>
      </c>
      <c r="C61" s="8">
        <v>1.36827373333197E-2</v>
      </c>
      <c r="D61" s="19">
        <v>8.7671477333319606E-2</v>
      </c>
      <c r="E61" s="19">
        <v>8.7671477333319606E-2</v>
      </c>
      <c r="F61" s="19">
        <v>8.7671477333319606E-2</v>
      </c>
      <c r="G61" s="71">
        <v>1.0057935573333201</v>
      </c>
      <c r="H61" s="71">
        <v>1.0057935573333201</v>
      </c>
      <c r="I61" s="71">
        <v>1.0057935573333201</v>
      </c>
      <c r="K61">
        <v>3000</v>
      </c>
      <c r="L61">
        <v>1.4</v>
      </c>
    </row>
    <row r="62" spans="2:12">
      <c r="B62" s="6" t="s">
        <v>44</v>
      </c>
      <c r="C62" s="8">
        <f t="shared" ref="C62:E62" si="5">C61/C60</f>
        <v>0.1849300002024592</v>
      </c>
      <c r="D62" s="36">
        <f t="shared" si="5"/>
        <v>0.19696999986335587</v>
      </c>
      <c r="E62" s="36">
        <f t="shared" si="5"/>
        <v>0.1361600000199408</v>
      </c>
      <c r="F62" s="36">
        <f t="shared" ref="F62:I62" si="6">F61/F60</f>
        <v>9.5490000010466591E-2</v>
      </c>
      <c r="G62" s="36">
        <f>G61/G60</f>
        <v>0.13519999999211216</v>
      </c>
      <c r="H62" s="36">
        <f t="shared" si="6"/>
        <v>3.9459999997179959E-2</v>
      </c>
      <c r="I62" s="36">
        <f t="shared" si="6"/>
        <v>1.3220000000001579E-2</v>
      </c>
      <c r="J62" s="59"/>
      <c r="K62">
        <v>3500</v>
      </c>
      <c r="L62">
        <v>1.18</v>
      </c>
    </row>
    <row r="63" spans="2:12" ht="15.75" thickBot="1">
      <c r="B63" s="10" t="s">
        <v>48</v>
      </c>
      <c r="C63" s="14">
        <f>ABS(C58-C59)/C58</f>
        <v>1.7873399678701586E-2</v>
      </c>
      <c r="D63" s="15">
        <f t="shared" ref="D63:E63" si="7">ABS(D58-D59)/D58</f>
        <v>0.20334825438935739</v>
      </c>
      <c r="E63" s="15">
        <f t="shared" si="7"/>
        <v>8.8634694970865263E-2</v>
      </c>
      <c r="F63" s="15">
        <f t="shared" ref="F63:I63" si="8">ABS(F58-F59)/F58</f>
        <v>5.5311439201243522E-3</v>
      </c>
      <c r="G63" s="15">
        <f t="shared" si="8"/>
        <v>0.19724060383145747</v>
      </c>
      <c r="H63" s="15">
        <f t="shared" si="8"/>
        <v>9.3384686808889575E-2</v>
      </c>
      <c r="I63" s="15">
        <f t="shared" si="8"/>
        <v>6.0643134729024446E-2</v>
      </c>
      <c r="J63" s="29"/>
      <c r="K63">
        <v>3600</v>
      </c>
      <c r="L63">
        <v>1.06</v>
      </c>
    </row>
    <row r="64" spans="2:12" ht="15.75" thickTop="1">
      <c r="C64" s="8">
        <v>0.73942482899999995</v>
      </c>
      <c r="D64">
        <v>0.82006904199999997</v>
      </c>
      <c r="E64" s="21">
        <f>ABS($D$64-0.8)/$D$64</f>
        <v>2.4472380948627404E-2</v>
      </c>
      <c r="F64" s="21">
        <f>ABS($D$64-0.786)/$D$64</f>
        <v>4.1544114282026437E-2</v>
      </c>
      <c r="G64">
        <v>0.88442358899999995</v>
      </c>
      <c r="I64" s="85">
        <f>ABS(G64-0.84)/G64</f>
        <v>5.0228860415436054E-2</v>
      </c>
      <c r="K64">
        <v>4000</v>
      </c>
      <c r="L64">
        <v>1</v>
      </c>
    </row>
    <row r="65" spans="3:12">
      <c r="K65">
        <v>4500</v>
      </c>
      <c r="L65">
        <v>0.9</v>
      </c>
    </row>
    <row r="66" spans="3:12">
      <c r="H66">
        <f>C61*3/(C60*3+F60*3+I60*3)</f>
        <v>1.775288479880385E-4</v>
      </c>
    </row>
    <row r="67" spans="3:12">
      <c r="G67" s="35">
        <f>AVERAGE(C63,F63,I63)</f>
        <v>2.8015892775950128E-2</v>
      </c>
    </row>
    <row r="68" spans="3:12">
      <c r="C68">
        <f>C61*2</f>
        <v>2.7365474666639401E-2</v>
      </c>
      <c r="G68" s="35">
        <f>AVERAGE(F64,I64)</f>
        <v>4.5886487348731242E-2</v>
      </c>
    </row>
    <row r="69" spans="3:12">
      <c r="C69">
        <f>C60*2+D60*2</f>
        <v>1.0381787999999998</v>
      </c>
      <c r="D69">
        <f>C68/C69</f>
        <v>2.635911527632755E-2</v>
      </c>
    </row>
    <row r="73" spans="3:12" ht="15.75" thickBot="1"/>
    <row r="74" spans="3:12" ht="17.25" thickTop="1" thickBot="1">
      <c r="F74" s="86" t="s">
        <v>170</v>
      </c>
      <c r="G74" s="87" t="s">
        <v>171</v>
      </c>
    </row>
    <row r="75" spans="3:12" ht="16.5" thickTop="1">
      <c r="E75" s="87" t="s">
        <v>55</v>
      </c>
      <c r="F75" s="100">
        <v>3</v>
      </c>
      <c r="G75" s="115">
        <v>3</v>
      </c>
    </row>
    <row r="76" spans="3:12" ht="15.75">
      <c r="E76" s="114" t="s">
        <v>56</v>
      </c>
      <c r="F76" s="93">
        <v>3</v>
      </c>
      <c r="G76" s="116">
        <v>3</v>
      </c>
    </row>
    <row r="77" spans="3:12" ht="15.75">
      <c r="E77" s="114" t="s">
        <v>57</v>
      </c>
      <c r="F77" s="117" t="str">
        <f>"3-63"</f>
        <v>3-63</v>
      </c>
      <c r="G77" s="118" t="str">
        <f>"4-202"</f>
        <v>4-202</v>
      </c>
    </row>
    <row r="78" spans="3:12" ht="18.75">
      <c r="E78" s="114" t="s">
        <v>59</v>
      </c>
      <c r="F78" s="119">
        <v>3.5200000000000002E-2</v>
      </c>
      <c r="G78" s="107">
        <v>2.8000000000000001E-2</v>
      </c>
    </row>
    <row r="79" spans="3:12" ht="18.75">
      <c r="E79" s="114" t="s">
        <v>149</v>
      </c>
      <c r="F79" s="120">
        <v>5.33E-2</v>
      </c>
      <c r="G79" s="107">
        <v>4.5900000000000003E-2</v>
      </c>
    </row>
    <row r="80" spans="3:12" ht="18.75">
      <c r="E80" s="114" t="s">
        <v>150</v>
      </c>
      <c r="F80" s="124">
        <v>2.3345485470451844E-3</v>
      </c>
      <c r="G80" s="123">
        <v>1.775288479880385E-4</v>
      </c>
    </row>
    <row r="81" spans="5:7" ht="19.5" thickBot="1">
      <c r="E81" s="88" t="s">
        <v>61</v>
      </c>
      <c r="F81" s="121">
        <f>ABS(0.0526-F80)/0.0526</f>
        <v>0.95561694777480632</v>
      </c>
      <c r="G81" s="111">
        <f>ABS(0.0526-G80)/0.0526</f>
        <v>0.9966249268443339</v>
      </c>
    </row>
    <row r="82" spans="5:7" ht="15.75" thickTop="1"/>
  </sheetData>
  <mergeCells count="4">
    <mergeCell ref="B53:D53"/>
    <mergeCell ref="A1:G8"/>
    <mergeCell ref="B21:D21"/>
    <mergeCell ref="K21:M21"/>
  </mergeCells>
  <phoneticPr fontId="6" type="noConversion"/>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ARTUNDUAGA</dc:creator>
  <cp:keywords/>
  <dc:description/>
  <cp:lastModifiedBy>anderson.suescun@correo.uis.edu.co</cp:lastModifiedBy>
  <cp:revision/>
  <dcterms:created xsi:type="dcterms:W3CDTF">2023-09-08T16:08:24Z</dcterms:created>
  <dcterms:modified xsi:type="dcterms:W3CDTF">2024-02-03T21:07:33Z</dcterms:modified>
  <cp:category/>
  <cp:contentStatus/>
</cp:coreProperties>
</file>